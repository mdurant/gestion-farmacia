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F4EB218-D424-4721-BF17-CB644F1B360C}" xr6:coauthVersionLast="47" xr6:coauthVersionMax="47" xr10:uidLastSave="{00000000-0000-0000-0000-000000000000}"/>
  <bookViews>
    <workbookView xWindow="-108" yWindow="-108" windowWidth="23256" windowHeight="13896" activeTab="2" xr2:uid="{6030BC84-13B6-4AE6-862C-6F81070618BE}"/>
  </bookViews>
  <sheets>
    <sheet name="Medicamentos" sheetId="3" r:id="rId1"/>
    <sheet name="Medicamento x Residente" sheetId="4" r:id="rId2"/>
    <sheet name="Base de Datos" sheetId="1" r:id="rId3"/>
    <sheet name="Hoja2" sheetId="2" r:id="rId4"/>
  </sheets>
  <definedNames>
    <definedName name="_xlnm._FilterDatabase" localSheetId="2" hidden="1">'Base de Datos'!$A$1:$S$363</definedName>
  </definedNames>
  <calcPr calcId="191029"/>
  <pivotCaches>
    <pivotCache cacheId="44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0" i="1" l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2" i="1"/>
  <c r="M341" i="1"/>
  <c r="M340" i="1"/>
  <c r="M339" i="1"/>
  <c r="M338" i="1"/>
  <c r="M337" i="1"/>
  <c r="M336" i="1"/>
  <c r="M334" i="1"/>
  <c r="M333" i="1"/>
  <c r="M332" i="1"/>
  <c r="M331" i="1"/>
  <c r="M330" i="1"/>
  <c r="M329" i="1"/>
  <c r="M327" i="1"/>
  <c r="M326" i="1"/>
  <c r="M325" i="1"/>
  <c r="M324" i="1"/>
  <c r="M323" i="1"/>
  <c r="M322" i="1"/>
  <c r="M321" i="1"/>
  <c r="M32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4" i="1"/>
  <c r="M273" i="1"/>
  <c r="M272" i="1"/>
  <c r="M271" i="1"/>
  <c r="M270" i="1"/>
  <c r="M269" i="1"/>
  <c r="M268" i="1"/>
  <c r="M267" i="1"/>
  <c r="M266" i="1"/>
  <c r="M264" i="1"/>
  <c r="M263" i="1"/>
  <c r="M262" i="1"/>
  <c r="M261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2" i="1"/>
  <c r="M111" i="1"/>
  <c r="M110" i="1"/>
  <c r="M109" i="1"/>
  <c r="M108" i="1"/>
  <c r="M107" i="1"/>
  <c r="M106" i="1"/>
  <c r="M105" i="1"/>
  <c r="M104" i="1"/>
  <c r="M103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0" i="1"/>
  <c r="M49" i="1"/>
  <c r="M48" i="1"/>
  <c r="M47" i="1"/>
  <c r="M46" i="1"/>
  <c r="M45" i="1"/>
  <c r="M44" i="1"/>
  <c r="M43" i="1"/>
  <c r="M42" i="1"/>
  <c r="M41" i="1"/>
  <c r="M40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<sst xmlns="http://schemas.openxmlformats.org/spreadsheetml/2006/main" count="3673" uniqueCount="361">
  <si>
    <t>Residente</t>
  </si>
  <si>
    <t>Rut</t>
  </si>
  <si>
    <t>Prevision Salud</t>
  </si>
  <si>
    <t>Habitacion</t>
  </si>
  <si>
    <t>Alergias</t>
  </si>
  <si>
    <t>Servicio Rescate</t>
  </si>
  <si>
    <t>Fecha Ingreso</t>
  </si>
  <si>
    <t>Edad</t>
  </si>
  <si>
    <t>Fecha de Nacimiento</t>
  </si>
  <si>
    <t>Diagnostico</t>
  </si>
  <si>
    <t>Medicamento</t>
  </si>
  <si>
    <t>Horarios</t>
  </si>
  <si>
    <t>Observaciones</t>
  </si>
  <si>
    <t>ITEM</t>
  </si>
  <si>
    <t>PRINCIPIO ACTIVO</t>
  </si>
  <si>
    <t>DOSIS O CONCENTRACION</t>
  </si>
  <si>
    <t>FORMA FARMACEUTICA</t>
  </si>
  <si>
    <t>CONSUMO ESTIMADO MENSUAL (EN UNIDADES POSOLOGICAS)</t>
  </si>
  <si>
    <t>REGISTRO SANITARIO DE REFERENCIA</t>
  </si>
  <si>
    <t>JUSTIFICACION TECNICA DE USO</t>
  </si>
  <si>
    <t>Cristian David Aguilera Monasterio</t>
  </si>
  <si>
    <t>13319425-8</t>
  </si>
  <si>
    <t>Fonasa</t>
  </si>
  <si>
    <t>No Referidas</t>
  </si>
  <si>
    <t>SAMU/MUTUAL llamar desde celular al 1407</t>
  </si>
  <si>
    <t>TEC ABIERTO 2010 - EPILEPSIA 2° TEC - DETERIORO COGNITIVO 2° TEC - FA PAROXISTICA CON TACO - PCR RECUPERADO - ARTROSIS POST TRAUMATICA.</t>
  </si>
  <si>
    <t>Acido Valproico 500mg ()</t>
  </si>
  <si>
    <t>Ajuste Según ultima indicacion por neurologia de Mutual 09/06</t>
  </si>
  <si>
    <t>Tratamiento</t>
  </si>
  <si>
    <t>Cronico</t>
  </si>
  <si>
    <t>Omeprazol 20mg ()</t>
  </si>
  <si>
    <t>Amiodarona 200mg ()</t>
  </si>
  <si>
    <t>Levetiracetam 1gr ()</t>
  </si>
  <si>
    <t>Trileptal 300mg ()</t>
  </si>
  <si>
    <t>Trileptal 600mg ()</t>
  </si>
  <si>
    <t>Cosamide 200mg ()</t>
  </si>
  <si>
    <t>Levetiracetam 500mg ()</t>
  </si>
  <si>
    <t>Carvedilol 6,25mg ()</t>
  </si>
  <si>
    <t>Quetiapina 25mg ()</t>
  </si>
  <si>
    <t>Acenocumarol ()</t>
  </si>
  <si>
    <t>Temporal</t>
  </si>
  <si>
    <t>Inicio</t>
  </si>
  <si>
    <t>Termino</t>
  </si>
  <si>
    <t>Total general</t>
  </si>
  <si>
    <t>Ana de las Mercedes Alcantara Alcantara</t>
  </si>
  <si>
    <t>3408740-7</t>
  </si>
  <si>
    <t>UCM/Apoderado Pablo Tobar Alcantara +56994235667</t>
  </si>
  <si>
    <t>HTA - DM - TINITUS - DETERIORO COGNITIVO - DEMENCIA TIPO ALZHEIMER - CX: GLAUCOMA + CATARATA - CIRUGIA UROLOGICA DE MEATO URINARIO</t>
  </si>
  <si>
    <t>HGT ()</t>
  </si>
  <si>
    <t>Cambio según ultimo control con medico 09/06</t>
  </si>
  <si>
    <t>Presentacion</t>
  </si>
  <si>
    <t>Comprimido</t>
  </si>
  <si>
    <t>Capsula</t>
  </si>
  <si>
    <t>Aplicación</t>
  </si>
  <si>
    <t>Memantina 10mg ()</t>
  </si>
  <si>
    <t>Brimof ()</t>
  </si>
  <si>
    <t>Gota</t>
  </si>
  <si>
    <t>Solo en ojo izquierdo</t>
  </si>
  <si>
    <t>Dorsolamida ()</t>
  </si>
  <si>
    <t>Aplicar en ambos ojos</t>
  </si>
  <si>
    <t>Telmisartan 80mg ()</t>
  </si>
  <si>
    <t>Bisoprolol 5mg ()</t>
  </si>
  <si>
    <t>Glucerna Individual ()</t>
  </si>
  <si>
    <t>200cc diarios</t>
  </si>
  <si>
    <t>Insulina Toujeo ()</t>
  </si>
  <si>
    <t>UI</t>
  </si>
  <si>
    <t>Trayenta Duo, 2,5mg / 1000mg ()</t>
  </si>
  <si>
    <t>Administrar despues de almuerzo</t>
  </si>
  <si>
    <t>Administrar despues de cena</t>
  </si>
  <si>
    <t>Latof ()</t>
  </si>
  <si>
    <t>Trazadona 100mg ()</t>
  </si>
  <si>
    <t>Mirtazapina 30mg ()</t>
  </si>
  <si>
    <t>Risperidona 1mg / ml ()</t>
  </si>
  <si>
    <t>Administrar en caso de agitacion</t>
  </si>
  <si>
    <t>SOS</t>
  </si>
  <si>
    <t>Juan Alegria Riquelme</t>
  </si>
  <si>
    <t>3282638-5</t>
  </si>
  <si>
    <t>Mutual 1407 desde celulares</t>
  </si>
  <si>
    <t>TEC SECUELADO - DETERIORO COGNITIVO MODERADO - AFASIA - ALTERACION DE LA MARCHA Y EQUILIBRIO - TRASTORNO DE LA DEGLUSION</t>
  </si>
  <si>
    <t>Subra ()</t>
  </si>
  <si>
    <t>Fibrasol sobres ()</t>
  </si>
  <si>
    <t>Sobre</t>
  </si>
  <si>
    <t>Ensure clinical ()</t>
  </si>
  <si>
    <t>Levocetrizina 5mg ()</t>
  </si>
  <si>
    <t>200 cc  los lunes y viernes de cada semana</t>
  </si>
  <si>
    <t>Zopiclona 7,5mg ()</t>
  </si>
  <si>
    <t>Latanoprost 0,005%</t>
  </si>
  <si>
    <t>una en cada ojo</t>
  </si>
  <si>
    <t>Paracetamol 500mg ()</t>
  </si>
  <si>
    <t>(Todas)</t>
  </si>
  <si>
    <t>Nelly Alvarado Ochoa</t>
  </si>
  <si>
    <t>33674769-4</t>
  </si>
  <si>
    <t>ACHS 1404</t>
  </si>
  <si>
    <t>DG DE INGRESO: FX DE PLATILLOS TIBIALES SCH VI A IZQUIERDA, FX DE PLATILLOS TIBIALES SCH II A DERECHA, FX DE TOBILLO BIMALEOLAR A IZQ Y FX TALO A IZQ</t>
  </si>
  <si>
    <t>Elena Arntz</t>
  </si>
  <si>
    <t>2492536-6</t>
  </si>
  <si>
    <t>HELP 800800911 / Apoderado Jorge Weis +56996790887</t>
  </si>
  <si>
    <t>HTA - HIPOACUSIA - ALTO RIESGO DE CAIDA - DETERIORO COGNITIVO</t>
  </si>
  <si>
    <t>Propanolol 10mg ()</t>
  </si>
  <si>
    <t>Enalapril 10mg ()</t>
  </si>
  <si>
    <t>Ensure ()</t>
  </si>
  <si>
    <t>PEG ()</t>
  </si>
  <si>
    <t>Administrar 1/2 sobre diario, en caso de estreñimiento sobre completo</t>
  </si>
  <si>
    <t>Citalopram 20mg ()</t>
  </si>
  <si>
    <t>Olanzapina 5mg ()</t>
  </si>
  <si>
    <t>Memantina 3mg ()</t>
  </si>
  <si>
    <t>Mirtazapina 15mg ()</t>
  </si>
  <si>
    <t>Olanzapina 15mg ()</t>
  </si>
  <si>
    <t>Trazadona 25mg ()</t>
  </si>
  <si>
    <t>Administrar en caso de irritabilidad</t>
  </si>
  <si>
    <t>Patricia Eliana Arriagada Mora</t>
  </si>
  <si>
    <t>6973164-3</t>
  </si>
  <si>
    <t>SP</t>
  </si>
  <si>
    <t>HELP 800800911 / Apoderado Jaime Arriagada +56976495491</t>
  </si>
  <si>
    <t>ALZHEIMER</t>
  </si>
  <si>
    <t>Eutirox 25mcg ()</t>
  </si>
  <si>
    <t>Aripripazol 5mg ()</t>
  </si>
  <si>
    <t>Escitalopram 10mg ()</t>
  </si>
  <si>
    <t>Exelon Rivastigmina</t>
  </si>
  <si>
    <t>Parche</t>
  </si>
  <si>
    <t>Rotar diariamente en escapula derecha e izquierda</t>
  </si>
  <si>
    <t>Glafornil XR 850 ()</t>
  </si>
  <si>
    <t>Memantina 20mg ()</t>
  </si>
  <si>
    <t>Trazodona 100mg ()</t>
  </si>
  <si>
    <t>Gladys Angelica Ayala Collado</t>
  </si>
  <si>
    <t>5434595-k</t>
  </si>
  <si>
    <t>HELP: 800800911</t>
  </si>
  <si>
    <t>HTA - DMIR - ACV (HACE MAS DE 20 AÑOS)</t>
  </si>
  <si>
    <t>Berodual ()</t>
  </si>
  <si>
    <t>Inhalaciones</t>
  </si>
  <si>
    <t>Con Aerocamara</t>
  </si>
  <si>
    <t>Insulina NPH ()</t>
  </si>
  <si>
    <t>Famotidina 20mg ()</t>
  </si>
  <si>
    <t>Sereprid ()</t>
  </si>
  <si>
    <t>Pregabalina 75mg ()</t>
  </si>
  <si>
    <t>Lagrimas artificiales ()</t>
  </si>
  <si>
    <t>Aspirina 100mg ()</t>
  </si>
  <si>
    <t>Metformina 850mg ()</t>
  </si>
  <si>
    <t>Calcio 320mg + Vitamina D3 ()</t>
  </si>
  <si>
    <t>Hyaback solucion oftalmica ()</t>
  </si>
  <si>
    <t>Trittico 100mg ()</t>
  </si>
  <si>
    <t>Atorvastatina 20mg ()</t>
  </si>
  <si>
    <t>Celecoxib 200mg ()</t>
  </si>
  <si>
    <t>Lorazepan 2mg ()</t>
  </si>
  <si>
    <t>Si luego de 60 minutos no concilia el sueño o por agitacion psicomotora</t>
  </si>
  <si>
    <t>Braulio Barraza Cepeda</t>
  </si>
  <si>
    <t>7962144-7</t>
  </si>
  <si>
    <t>ACHS 1404 Sra yasna vargas (hija) +56998612987 (hija)</t>
  </si>
  <si>
    <t>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</t>
  </si>
  <si>
    <t>Esomeprazol 20mg()</t>
  </si>
  <si>
    <t>cronico</t>
  </si>
  <si>
    <t xml:space="preserve">ulcerine () </t>
  </si>
  <si>
    <t>aplicación</t>
  </si>
  <si>
    <t>Diclofenaco gel ()</t>
  </si>
  <si>
    <t>Proctogel crema</t>
  </si>
  <si>
    <t>Vitde 800()</t>
  </si>
  <si>
    <t>Cefradina 500mg()</t>
  </si>
  <si>
    <t>Administrar según la necesidad del paciente</t>
  </si>
  <si>
    <t>Zolpidem 10 mg ()</t>
  </si>
  <si>
    <t>Administrar en caso de insomnio,( Dosis maxima 4 comp.)</t>
  </si>
  <si>
    <t>Jaime Barraza Gahona</t>
  </si>
  <si>
    <t>11380382-7</t>
  </si>
  <si>
    <t>Mutual 1407 desde celulares/ Samu</t>
  </si>
  <si>
    <t>Politraumatismo-Tec leve no complicado.Trauma facialcomplejo-Trauma toraxico ,HTA.</t>
  </si>
  <si>
    <t>Dantroleno 25 mg ()</t>
  </si>
  <si>
    <t>Baclofeno 10 mg()</t>
  </si>
  <si>
    <t>Duloxetina 30mg ()</t>
  </si>
  <si>
    <t xml:space="preserve">Realizar aplicación en brazos y piernas </t>
  </si>
  <si>
    <t>Biopsol 0,25mg ()</t>
  </si>
  <si>
    <t>Tizadinina 4 mg()</t>
  </si>
  <si>
    <t>Losartan 50mg()</t>
  </si>
  <si>
    <t>Quetiapina 100mg ()</t>
  </si>
  <si>
    <t>Amlodipino 20mg()</t>
  </si>
  <si>
    <t xml:space="preserve">Clorhexidina </t>
  </si>
  <si>
    <t>15ml</t>
  </si>
  <si>
    <t>Enjuague bucal</t>
  </si>
  <si>
    <t>Amoxicilina</t>
  </si>
  <si>
    <t>Clonazapam 0,5 mg()</t>
  </si>
  <si>
    <t>Administrar en caso de espasmos musculares y/o mialgias.</t>
  </si>
  <si>
    <t>Fleet enema rectal</t>
  </si>
  <si>
    <t>1ml</t>
  </si>
  <si>
    <t>Administrar en caso de estreñimiento</t>
  </si>
  <si>
    <t>8677832-7</t>
  </si>
  <si>
    <t>ACHS llamar anexo 1404 desde celular</t>
  </si>
  <si>
    <t>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</t>
  </si>
  <si>
    <t>Boost ()</t>
  </si>
  <si>
    <t>Risperidal 1mg/ml()</t>
  </si>
  <si>
    <t>Paroxetina 20mg()</t>
  </si>
  <si>
    <t>Melatonina 3mg()</t>
  </si>
  <si>
    <t>Enoxaparina 40mg()</t>
  </si>
  <si>
    <t>Elvira Rosa Bizuela Moreno</t>
  </si>
  <si>
    <t>4857203-0</t>
  </si>
  <si>
    <t>No refiere/intolerante a la lactosa</t>
  </si>
  <si>
    <t>UCM 22391444 / Aposerado Cynthia Sofjer Bizuela 999470671</t>
  </si>
  <si>
    <t>HTA-DM2 IR-ICA-IAA-ANSIEDAD-GONADORTROSIS-HIPOTIROIDISMO-Antecedentes Qx cesarea-Apendicectomia.</t>
  </si>
  <si>
    <t>Insulina Lantus()</t>
  </si>
  <si>
    <t>Eutirox 112 mcg()</t>
  </si>
  <si>
    <t>Systane ultra gotas oftalmicas</t>
  </si>
  <si>
    <t>Trimebutino 100mg()</t>
  </si>
  <si>
    <t>Valsartan 160mg()</t>
  </si>
  <si>
    <t>Aflorex probiotico()</t>
  </si>
  <si>
    <t>Aerogastrol()</t>
  </si>
  <si>
    <t>Insulina Novorapid</t>
  </si>
  <si>
    <t>Administrar según esquema</t>
  </si>
  <si>
    <t>ui</t>
  </si>
  <si>
    <t>Administrar si posterior a tomar Aerogastrol continua con dolor estomacal</t>
  </si>
  <si>
    <t>Mario Del Rosario Bugueño Labarca</t>
  </si>
  <si>
    <t>3979734-8</t>
  </si>
  <si>
    <t>HELP: 800800911/Apoderada Barbara Bugueño 985152166</t>
  </si>
  <si>
    <t>HTA-DMNIR-ARTROSIS-DEMENCIA</t>
  </si>
  <si>
    <t>Jardinace duo 12,5/100 mg()</t>
  </si>
  <si>
    <t>Viamina D 800 UI ()</t>
  </si>
  <si>
    <t>Deslafax/Desvenlafaxina 50mg()</t>
  </si>
  <si>
    <t>Clonazepam 2mg()</t>
  </si>
  <si>
    <t>Evocaz CD 10mg()</t>
  </si>
  <si>
    <t>Felicinda Del Carmen Campos Vasquez</t>
  </si>
  <si>
    <t>3463124-7</t>
  </si>
  <si>
    <t>ATROPINA/AINES</t>
  </si>
  <si>
    <t>HELP 800800911 /Apoderada Carmen Mella Campos 94771050</t>
  </si>
  <si>
    <t>Colitis ulcerosa-Anemia-Queratosis Seborreica-Polipos Rectales,Daño renal leve,Osteoporosis avanzada,ACV antiguo,Deterioro cognitivo en estudio,FX antigua de pelvis,parrilla costal, muñeca,hombro.</t>
  </si>
  <si>
    <t>Cheltin 100mg()</t>
  </si>
  <si>
    <t>Azulfidine 500mg()</t>
  </si>
  <si>
    <t>Ecal D 500/800 mg()</t>
  </si>
  <si>
    <t>Sertralina 50mg()</t>
  </si>
  <si>
    <t>Furosemida 40mg()</t>
  </si>
  <si>
    <t>Sanigermin()</t>
  </si>
  <si>
    <t>gramo</t>
  </si>
  <si>
    <t>Ciruelax comprimidos</t>
  </si>
  <si>
    <t>Jabon para el lavado de axilas</t>
  </si>
  <si>
    <t xml:space="preserve">lavar ambas axilas antes de acostarse </t>
  </si>
  <si>
    <t>Fucidin crema()</t>
  </si>
  <si>
    <t>aplicar posterior lavado de axila</t>
  </si>
  <si>
    <t>Budenofalk 3 mg</t>
  </si>
  <si>
    <t>En caso de crisis ulcerosa</t>
  </si>
  <si>
    <t>Sylvia Gladys Carriel Martinez</t>
  </si>
  <si>
    <t>6024386-7</t>
  </si>
  <si>
    <t>AINES</t>
  </si>
  <si>
    <t>UCM 223914444 Apoderada Karen Del Carmen Valiente Carriel</t>
  </si>
  <si>
    <t>Trastorno del sueño, depresion,ansiedad,Enf de Hashimoto, sindrome de intestino permeable</t>
  </si>
  <si>
    <t>Eutirox 100 mcg()</t>
  </si>
  <si>
    <t>de lunes a viernes</t>
  </si>
  <si>
    <t>Juan Rosales Catalan Catalan</t>
  </si>
  <si>
    <t>5937349-8</t>
  </si>
  <si>
    <t>ACHS 1404 Apoderada Silvia Acuña ( esposa) 966755587</t>
  </si>
  <si>
    <t>Tec abiero, contusion cerebral grave, luxacion de rodilla izq. Desorden de personalidad y crisis de panico post TEC, artrosis tricopartimental rodilla izq. Daño organico severo, sd post contusional.</t>
  </si>
  <si>
    <t>XEROS SA BUCAL()</t>
  </si>
  <si>
    <t>Spray</t>
  </si>
  <si>
    <t>FinArttrit()</t>
  </si>
  <si>
    <t>Parche Buprenorfina 35mcg/h()</t>
  </si>
  <si>
    <t>Haloperidol 1 mg ()</t>
  </si>
  <si>
    <t>FINAPROST()</t>
  </si>
  <si>
    <t>Zaldiar ()</t>
  </si>
  <si>
    <t xml:space="preserve">en caso de dolor </t>
  </si>
  <si>
    <t>Isidoro Cristian Cea Pacheco</t>
  </si>
  <si>
    <t>9777651-2</t>
  </si>
  <si>
    <t>Tec grave complicado-HED extenso parietal izq operado-Contusion parieto-temporal izq drenada-DAD grado ll- cefalea post tec-Doc post tec fx platillos tibiales operada(.Duelo fallece su hijo en junio 2026 por linfoma),HTA ACV isquemico lacunar putaminal derecho.</t>
  </si>
  <si>
    <t>Acido Valproico 250mg ()</t>
  </si>
  <si>
    <t>Tramadol 50 mg</t>
  </si>
  <si>
    <t>Tamsulosina 0,4 mg()</t>
  </si>
  <si>
    <t>Dazolin 10 mg ()</t>
  </si>
  <si>
    <t>Lactulosa()</t>
  </si>
  <si>
    <t>ml</t>
  </si>
  <si>
    <t>Hidroclorotiazida 50 mg()</t>
  </si>
  <si>
    <t>Modafinilo 100 mg()</t>
  </si>
  <si>
    <t xml:space="preserve">administrar en caso de dolor </t>
  </si>
  <si>
    <t>Maria Elisa Chacano Cisterna</t>
  </si>
  <si>
    <t>1856610-9</t>
  </si>
  <si>
    <t>UCM 223914444 Apoderado Sra Nora Labra Chacano993597953</t>
  </si>
  <si>
    <t>Demencia</t>
  </si>
  <si>
    <t>comprimido</t>
  </si>
  <si>
    <t>Paracetamol 1gr ()</t>
  </si>
  <si>
    <t>Administrar en caso de solor o fiebre</t>
  </si>
  <si>
    <t>Marta Elena Cornejo Abarca</t>
  </si>
  <si>
    <t>4369636-k</t>
  </si>
  <si>
    <t>Demencia vascular(2018) artrosi-gonartrosis-pancreatitis (resuelta)Ulcera gastrica( Resuelta)</t>
  </si>
  <si>
    <t>UCM 223914444 Apoderado Don Hector Montes Cornejo 994793497</t>
  </si>
  <si>
    <t>Letrozol ()</t>
  </si>
  <si>
    <t>administrar en caso de dolor y/o fiebre</t>
  </si>
  <si>
    <t>Sonia Fresia Cortez Jimenez</t>
  </si>
  <si>
    <t>4546776-7</t>
  </si>
  <si>
    <t>UCM Apoderado Don Gonzalo Molina 994190509</t>
  </si>
  <si>
    <t>Cardiopatia coronaria 2019,insuficiencia mitral moderada hta pulmonar,TAVI (implantacion de valvula aortica transcateter) 2019con insuficiencia paravalvularmoderada,diseccion aortica abdominal-Stent coronario derecho ,FA,adenocarcinoma de colon operadoen 2023.colectomia derecha 2023.</t>
  </si>
  <si>
    <t xml:space="preserve">sabor frutilla </t>
  </si>
  <si>
    <t>Espironolactona 25mg</t>
  </si>
  <si>
    <t>Jardinace 25mg()</t>
  </si>
  <si>
    <t>Potenciador cerebral ()</t>
  </si>
  <si>
    <t>Bisoprolol 2,5 mg()</t>
  </si>
  <si>
    <t>Apixaban 5mg()</t>
  </si>
  <si>
    <t>Rux20 mg()</t>
  </si>
  <si>
    <t>190 mg 1 capsula</t>
  </si>
  <si>
    <t>German Cubillos Toledo</t>
  </si>
  <si>
    <t>4591700-2</t>
  </si>
  <si>
    <t>IPS</t>
  </si>
  <si>
    <t>HELP 800800911 Apoderado Don Gustavo Cubillos 948511367</t>
  </si>
  <si>
    <t>HTA.</t>
  </si>
  <si>
    <t>Prolopa 200/50 Benserazida+levodopa()</t>
  </si>
  <si>
    <t>Valcote ER 250 mg()</t>
  </si>
  <si>
    <t>Administrar en caso de irritabilidad agresividad y/o desajuste conductual</t>
  </si>
  <si>
    <t>Hernan Francisco Diaz Letelier</t>
  </si>
  <si>
    <t>2316450-7</t>
  </si>
  <si>
    <t>UCM 223914444 Apoderada Miriam Diaz  994492933</t>
  </si>
  <si>
    <t>HPB, Demencia, FX de cadera bilateral antigua Colecistectomia, obstruccion intestinal, ITU repeticion.</t>
  </si>
  <si>
    <t xml:space="preserve">Administrar los dias martes y jueves de la 2° y 4° semana de cada mes </t>
  </si>
  <si>
    <t>Acido Alendronico 70mg()</t>
  </si>
  <si>
    <t>Ecal D ()</t>
  </si>
  <si>
    <t>Fosfomicina 3gr()</t>
  </si>
  <si>
    <t xml:space="preserve">solo dia jueves </t>
  </si>
  <si>
    <t>Celebra 200 mg()</t>
  </si>
  <si>
    <t>Viadil ()</t>
  </si>
  <si>
    <t>Odatron 4 mg</t>
  </si>
  <si>
    <t>En caso de estreñimiento</t>
  </si>
  <si>
    <t>En caso de nauseas y vomito</t>
  </si>
  <si>
    <t>Maria Elena Diaz Muñoz</t>
  </si>
  <si>
    <t>6892749-8</t>
  </si>
  <si>
    <t>UCM 223914444 Apoderado Don Jhon Martinez Diaz 999876937</t>
  </si>
  <si>
    <t>Diabetes mellitus tipo 2 NIR -HTA- Asma- Aneurisma roto pot mav ,Operada 2014 Secuelada Hemiparesia Braquio -crucalderecha y disfasia.</t>
  </si>
  <si>
    <t>Brexotide aerosol 250/25 mcg()</t>
  </si>
  <si>
    <t>Puff</t>
  </si>
  <si>
    <t>Beroxotide aerosol 250/25 mcg()</t>
  </si>
  <si>
    <t>Salbutamol Aerosol()</t>
  </si>
  <si>
    <t>Administrar en caso de apremio respiratorio, Adm con aerocamara</t>
  </si>
  <si>
    <t>Alex Diaz Villalobos</t>
  </si>
  <si>
    <t>12490154-5</t>
  </si>
  <si>
    <t>ACHS</t>
  </si>
  <si>
    <t>Secuelado post Tec 1994, deterioro cognitivo severo post Tec, epilepsia post tec</t>
  </si>
  <si>
    <t>Fenobarbital 100mg ()</t>
  </si>
  <si>
    <t>Administrar en caso de agitacion y/o irritabilidad</t>
  </si>
  <si>
    <t>Carlos Barrientos Poblete</t>
  </si>
  <si>
    <t>Clara Rosa Donoso Donoso</t>
  </si>
  <si>
    <t>2697581-6</t>
  </si>
  <si>
    <t>UCM 223914444, Apoderado Alex Pizarro Olivares +56962552515</t>
  </si>
  <si>
    <t>Desprendimiento Uterino- RI - Deterioro cognitivo moderado - Hipotiroidismo descompensado en tto - Constirpacion - Demencia tipo Alzheimer</t>
  </si>
  <si>
    <t>Levotiroxina 75mcg ()</t>
  </si>
  <si>
    <t>Centrum ()</t>
  </si>
  <si>
    <t>Vivalite ()</t>
  </si>
  <si>
    <t>Citrato de magnesio ()</t>
  </si>
  <si>
    <t>Antrofi crema vaginal ()</t>
  </si>
  <si>
    <t>Perenteryl 250mg ()</t>
  </si>
  <si>
    <t>Pablo Arturo Duarte Arrue</t>
  </si>
  <si>
    <t>4280922-5</t>
  </si>
  <si>
    <t>UCM 223914444, Apoderado Maria Jose Duarte Ureta +56944350939</t>
  </si>
  <si>
    <t>HTA, Deterioro cognitivo Severo</t>
  </si>
  <si>
    <t>Amlodipino 5mg()</t>
  </si>
  <si>
    <t>08 de Julio evaluar continuidad</t>
  </si>
  <si>
    <t>Luis Alberto Espinoza Barrales</t>
  </si>
  <si>
    <t>4756147-7</t>
  </si>
  <si>
    <t>Dipreca</t>
  </si>
  <si>
    <t>UCM 223914444, Apoderado Eduardo Belmar +56993020559</t>
  </si>
  <si>
    <t>HTA, Daño renal Cronico (Dialisis) Antecedentes de Epistaxis. Anemia Severa, Potasio elevado, Fosforo elevado, posible acidosis, niveles altos de antigeno prostatico</t>
  </si>
  <si>
    <t>Esomeprazol 40mg()</t>
  </si>
  <si>
    <t>Phoslo 667mg ()</t>
  </si>
  <si>
    <t>Amlodipino 10mg ()</t>
  </si>
  <si>
    <t>Solo si tiene fiebre o Dolor</t>
  </si>
  <si>
    <t>Dosis Diaria</t>
  </si>
  <si>
    <t>Dosis Mensual</t>
  </si>
  <si>
    <t>Valores</t>
  </si>
  <si>
    <t>Total Suma de Dosis Mensual</t>
  </si>
  <si>
    <t>Suma de Dosis Mensual</t>
  </si>
  <si>
    <t>Total Suma de Dosis Diaria</t>
  </si>
  <si>
    <t>Suma de Dosis Diaria</t>
  </si>
  <si>
    <t>Atorvastatina 40mg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</si>
</sst>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 wrapText="1"/>
    </xf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0" fontId="0" fillId="0" borderId="0" xfId="0" pivotButton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nzalo Muñoz" refreshedDate="46190.990156481479" createdVersion="8" refreshedVersion="8" minRefreshableVersion="3" recordCount="363" xr:uid="{9BDD0AC8-BB92-4EB7-87CB-93A88CE387BB}">
  <cacheSource type="worksheet">
    <worksheetSource ref="A1:S1048576" sheet="Base de Datos"/>
  </cacheSource>
  <cacheFields count="20">
    <cacheField name="Residente" numFmtId="0">
      <sharedItems containsBlank="1" count="28">
        <s v="Cristian David Aguilera Monasterio"/>
        <s v="Ana de las Mercedes Alcantara Alcantara"/>
        <s v="Juan Alegria Riquelme"/>
        <s v="Nelly Alvarado Ochoa"/>
        <s v="Elena Arntz"/>
        <s v="Patricia Eliana Arriagada Mora"/>
        <s v="Gladys Angelica Ayala Collado"/>
        <s v="Braulio Barraza Cepeda"/>
        <s v="Jaime Barraza Gahona"/>
        <s v="Carlos Barrientos Poblete"/>
        <s v="Elvira Rosa Bizuela Moreno"/>
        <s v="Mario Del Rosario Bugueño Labarca"/>
        <s v="Felicinda Del Carmen Campos Vasquez"/>
        <s v="Sylvia Gladys Carriel Martinez"/>
        <s v="Juan Rosales Catalan Catalan"/>
        <s v="Isidoro Cristian Cea Pacheco"/>
        <s v="Maria Elisa Chacano Cisterna"/>
        <s v="Marta Elena Cornejo Abarca"/>
        <s v="Sonia Fresia Cortez Jimenez"/>
        <s v="German Cubillos Toledo"/>
        <s v="Hernan Francisco Diaz Letelier"/>
        <s v="Maria Elena Diaz Muñoz"/>
        <s v="Alex Diaz Villalobos"/>
        <s v="Clara Rosa Donoso Donoso"/>
        <s v="Pablo Arturo Duarte Arrue"/>
        <s v="Luis Alberto Espinoza Barrales"/>
        <m/>
        <s v="Carlos Barrientos Pobete" u="1"/>
      </sharedItems>
    </cacheField>
    <cacheField name="Rut" numFmtId="0">
      <sharedItems containsBlank="1"/>
    </cacheField>
    <cacheField name="Prevision Salud" numFmtId="0">
      <sharedItems containsBlank="1"/>
    </cacheField>
    <cacheField name="Habitacion" numFmtId="0">
      <sharedItems containsString="0" containsBlank="1" containsNumber="1" containsInteger="1" minValue="101" maxValue="413"/>
    </cacheField>
    <cacheField name="Alergias" numFmtId="0">
      <sharedItems containsBlank="1"/>
    </cacheField>
    <cacheField name="Servicio Rescate" numFmtId="0">
      <sharedItems containsBlank="1"/>
    </cacheField>
    <cacheField name="Fecha Ingreso" numFmtId="14">
      <sharedItems containsNonDate="0" containsDate="1" containsString="0" containsBlank="1" minDate="2019-06-17T00:00:00" maxDate="2026-06-10T00:00:00"/>
    </cacheField>
    <cacheField name="Edad" numFmtId="0">
      <sharedItems containsString="0" containsBlank="1" containsNumber="1" containsInteger="1" minValue="51" maxValue="205"/>
    </cacheField>
    <cacheField name="Fecha de Nacimiento" numFmtId="14">
      <sharedItems containsNonDate="0" containsDate="1" containsString="0" containsBlank="1" minDate="1923-04-29T00:00:00" maxDate="1975-04-16T00:00:00"/>
    </cacheField>
    <cacheField name="Diagnostico" numFmtId="0">
      <sharedItems containsBlank="1" longText="1"/>
    </cacheField>
    <cacheField name="Medicamento" numFmtId="0">
      <sharedItems containsBlank="1" count="167">
        <s v="Acido Valproico 500mg ()"/>
        <s v="Omeprazol 20mg ()"/>
        <s v="Amiodarona 200mg ()"/>
        <s v="Levetiracetam 1gr ()"/>
        <s v="Trileptal 300mg ()"/>
        <s v="Trileptal 600mg ()"/>
        <s v="Cosamide 200mg ()"/>
        <s v="Levetiracetam 500mg ()"/>
        <s v="Carvedilol 6,25mg ()"/>
        <s v="Atorvastatina 40mg ()"/>
        <s v="Acido Valproico 250mg ()"/>
        <s v="Quetiapina 25mg ()"/>
        <s v="Acenocumarol ()"/>
        <s v="HGT ()"/>
        <s v="Memantina 10mg ()"/>
        <s v="Brimof ()"/>
        <s v="Dorsolamida ()"/>
        <s v="Telmisartan 80mg ()"/>
        <s v="Bisoprolol 5mg ()"/>
        <s v="Glucerna Individual ()"/>
        <s v="Insulina Toujeo ()"/>
        <s v="Trayenta Duo, 2,5mg / 1000mg ()"/>
        <s v="Latof ()"/>
        <s v="Trazadona 100mg ()"/>
        <s v="Mirtazapina 30mg ()"/>
        <s v="Risperidona 1mg / ml ()"/>
        <s v="Subra ()"/>
        <s v="Fibrasol sobres ()"/>
        <s v="Ensure clinical ()"/>
        <s v="Levocetrizina 5mg ()"/>
        <s v="Zopiclona 7,5mg ()"/>
        <s v="Latanoprost 0,005%"/>
        <s v="Paracetamol 500mg ()"/>
        <s v="Sertralina 50mg()"/>
        <s v="Propanolol 10mg ()"/>
        <s v="Enalapril 10mg ()"/>
        <s v="Ensure ()"/>
        <s v="PEG ()"/>
        <s v="Citalopram 20mg ()"/>
        <s v="Olanzapina 5mg ()"/>
        <s v="Mirtazapina 15mg ()"/>
        <s v="Memantina 3mg ()"/>
        <s v="Olanzapina 15mg ()"/>
        <s v="Trazadona 25mg ()"/>
        <s v="Eutirox 25mcg ()"/>
        <s v="Losartan 50mg()"/>
        <s v="Aripripazol 5mg ()"/>
        <s v="Escitalopram 10mg ()"/>
        <s v="Exelon Rivastigmina"/>
        <s v="Glafornil XR 850 ()"/>
        <s v="Memantina 20mg ()"/>
        <s v="Trazodona 100mg ()"/>
        <s v="Berodual ()"/>
        <s v="Insulina NPH ()"/>
        <s v="Famotidina 20mg ()"/>
        <s v="Sereprid ()"/>
        <s v="Pregabalina 75mg ()"/>
        <s v="Lagrimas artificiales ()"/>
        <s v="Aspirina 100mg ()"/>
        <s v="Metformina 850mg ()"/>
        <s v="Calcio 320mg + Vitamina D3 ()"/>
        <s v="Hyaback solucion oftalmica ()"/>
        <s v="Trittico 100mg ()"/>
        <s v="Atorvastatina 20mg ()"/>
        <s v="Celecoxib 200mg ()"/>
        <s v="Lorazepan 2mg ()"/>
        <s v="Esomeprazol 20mg()"/>
        <s v="ulcerine () "/>
        <s v="Diclofenaco gel ()"/>
        <s v="Vitde 800()"/>
        <s v="Proctogel crema"/>
        <s v="Cefradina 500mg()"/>
        <s v="Zolpidem 10 mg ()"/>
        <s v="Dantroleno 25 mg ()"/>
        <s v="Baclofeno 10 mg()"/>
        <s v="Duloxetina 30mg ()"/>
        <s v="Biopsol 0,25mg ()"/>
        <s v="Tizadinina 4 mg()"/>
        <s v="Quetiapina 100mg ()"/>
        <s v="Amlodipino 20mg()"/>
        <s v="Clorhexidina "/>
        <s v="Amoxicilina"/>
        <s v="Clonazapam 0,5 mg()"/>
        <s v="Fleet enema rectal"/>
        <s v="Boost ()"/>
        <s v="Risperidal 1mg/ml()"/>
        <s v="Paroxetina 20mg()"/>
        <s v="Melatonina 3mg()"/>
        <s v="Enoxaparina 40mg()"/>
        <s v="Insulina Lantus()"/>
        <s v="Eutirox 112 mcg()"/>
        <s v="Systane ultra gotas oftalmicas"/>
        <s v="Trimebutino 100mg()"/>
        <s v="Valsartan 160mg()"/>
        <s v="Aflorex probiotico()"/>
        <s v="Aerogastrol()"/>
        <s v="Insulina Novorapid"/>
        <s v="Viadil ()"/>
        <s v="Jardinace duo 12,5/100 mg()"/>
        <s v="Viamina D 800 UI ()"/>
        <s v="Deslafax/Desvenlafaxina 50mg()"/>
        <s v="Clonazepam 2mg()"/>
        <s v="Evocaz CD 10mg()"/>
        <s v="Cheltin 100mg()"/>
        <s v="Azulfidine 500mg()"/>
        <s v="Ecal D 500/800 mg()"/>
        <s v="Furosemida 40mg()"/>
        <s v="Sanigermin()"/>
        <s v="Ciruelax comprimidos"/>
        <s v="Fucidin crema()"/>
        <s v="Budenofalk 3 mg"/>
        <s v="Eutirox 100 mcg()"/>
        <s v="XEROS SA BUCAL()"/>
        <s v="FinArttrit()"/>
        <s v="Parche Buprenorfina 35mcg/h()"/>
        <s v="Haloperidol 1 mg ()"/>
        <s v="FINAPROST()"/>
        <s v="Zaldiar ()"/>
        <s v="Tramadol 50 mg"/>
        <s v="Tamsulosina 0,4 mg()"/>
        <s v="Dazolin 10 mg ()"/>
        <s v="Lactulosa()"/>
        <s v="Hidroclorotiazida 50 mg()"/>
        <s v="Modafinilo 100 mg()"/>
        <s v="Paracetamol 1gr ()"/>
        <s v="Letrozol ()"/>
        <s v="Espironolactona 25mg"/>
        <s v="Jardinace 25mg()"/>
        <s v="Potenciador cerebral ()"/>
        <s v="Bisoprolol 2,5 mg()"/>
        <s v="Apixaban 5mg()"/>
        <s v="Rux20 mg()"/>
        <s v="Prolopa 200/50 Benserazida+levodopa()"/>
        <s v="Valcote ER 250 mg()"/>
        <s v="Acido Alendronico 70mg()"/>
        <s v="Ecal D ()"/>
        <s v="Fosfomicina 3gr()"/>
        <s v="Celebra 200 mg()"/>
        <s v="Odatron 4 mg"/>
        <s v="Brexotide aerosol 250/25 mcg()"/>
        <s v="Beroxotide aerosol 250/25 mcg()"/>
        <s v="Salbutamol Aerosol()"/>
        <s v="Fenobarbital 100mg ()"/>
        <s v="Levotiroxina 75mcg ()"/>
        <s v="Centrum ()"/>
        <s v="Vivalite ()"/>
        <s v="Citrato de magnesio ()"/>
        <s v="Antrofi crema vaginal ()"/>
        <s v="Perenteryl 250mg ()"/>
        <s v="Amlodipino 5mg()"/>
        <s v="Esomeprazol 40mg()"/>
        <s v="Phoslo 667mg ()"/>
        <s v="Amlodipino 10mg ()"/>
        <m/>
        <s v="Astorvastatina 40mg ()" u="1"/>
        <s v="Acido Valproico 2500mg ()" u="1"/>
        <s v="Sertralina" u="1"/>
        <s v="Lozartan 50mg ()" u="1"/>
        <s v="Trazadona 25 mg ()" u="1"/>
        <s v="Quetiapina 25 mg()" u="1"/>
        <s v="Viadil()" u="1"/>
        <s v="Elcal D 500/800 mg()" u="1"/>
        <s v="Olanzapina 5 mg()" u="1"/>
        <s v="Mirtazapina15 mg ()" u="1"/>
        <s v="Acido valproico 250 mg()" u="1"/>
        <s v="Acido  Alendronico 70 mg()" u="1"/>
        <s v="Astorvastatina 20mg ()" u="1"/>
      </sharedItems>
    </cacheField>
    <cacheField name="Dosis Diaria" numFmtId="4">
      <sharedItems containsBlank="1" containsMixedTypes="1" containsNumber="1" minValue="0" maxValue="45"/>
    </cacheField>
    <cacheField name="Dosis Mensual" numFmtId="4">
      <sharedItems containsString="0" containsBlank="1" containsNumber="1" minValue="0" maxValue="1350"/>
    </cacheField>
    <cacheField name="Presentacion" numFmtId="164">
      <sharedItems containsBlank="1" count="20">
        <s v="Comprimido"/>
        <s v="Capsula"/>
        <s v="Aplicación"/>
        <s v="Gota"/>
        <s v="UI"/>
        <s v="Sobre"/>
        <s v="Parche"/>
        <s v="Inhalaciones"/>
        <s v="Enjuague bucal"/>
        <m/>
        <s v="1ml"/>
        <s v="gramo"/>
        <s v="Spray"/>
        <s v="ml"/>
        <s v="Puff"/>
        <s v="capsulas" u="1"/>
        <s v="gotas" u="1"/>
        <s v="Capsula " u="1"/>
        <s v="comprimido " u="1"/>
        <s v="aplicación " u="1"/>
      </sharedItems>
    </cacheField>
    <cacheField name="Horarios" numFmtId="0">
      <sharedItems containsNonDate="0" containsDate="1" containsString="0" containsBlank="1" minDate="1899-12-30T00:00:00" maxDate="1899-12-30T23:00:00" count="17">
        <d v="1899-12-30T07:00:00"/>
        <d v="1899-12-30T15:00:00"/>
        <d v="1899-12-30T09:00:00"/>
        <d v="1899-12-30T21:00:00"/>
        <d v="1899-12-30T23:00:00"/>
        <d v="1899-12-30T17:00:00"/>
        <d v="1899-12-30T10:00:00"/>
        <d v="1899-12-30T13:00:00"/>
        <d v="1899-12-30T18:00:00"/>
        <d v="1899-12-30T22:00:00"/>
        <m/>
        <d v="1899-12-30T19:00:00"/>
        <d v="1899-12-30T00:00:00"/>
        <d v="1899-12-30T06:00:00"/>
        <d v="1899-12-30T12:00:00"/>
        <d v="1899-12-30T16:00:00"/>
        <d v="1899-12-30T12:30:00"/>
      </sharedItems>
      <fieldGroup par="19"/>
    </cacheField>
    <cacheField name="Observaciones" numFmtId="0">
      <sharedItems containsBlank="1"/>
    </cacheField>
    <cacheField name="Tratamiento" numFmtId="0">
      <sharedItems containsBlank="1" count="4">
        <s v="Cronico"/>
        <s v="Temporal"/>
        <s v="SOS"/>
        <m/>
      </sharedItems>
    </cacheField>
    <cacheField name="Inicio" numFmtId="0">
      <sharedItems containsNonDate="0" containsDate="1" containsString="0" containsBlank="1" minDate="2026-04-08T00:00:00" maxDate="2026-06-17T00:00:00"/>
    </cacheField>
    <cacheField name="Termino" numFmtId="0">
      <sharedItems containsNonDate="0" containsDate="1" containsString="0" containsBlank="1" minDate="2026-06-16T00:00:00" maxDate="2026-07-25T00:00:00"/>
    </cacheField>
    <cacheField name="Horas (Horarios)" numFmtId="0" databaseField="0">
      <fieldGroup base="14">
        <rangePr groupBy="hours" startDate="1899-12-30T00:00:00" endDate="1899-12-30T23:00:00"/>
        <groupItems count="26">
          <s v="&lt;00/01/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"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0"/>
    <n v="1"/>
    <n v="30"/>
    <x v="0"/>
    <x v="0"/>
    <s v="Ajuste Según ultima indicacion por neurologia de Mutual 09/06"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0"/>
    <n v="1"/>
    <n v="30"/>
    <x v="0"/>
    <x v="1"/>
    <s v="Ajuste Según ultima indicacion por neurologia de Mutual 09/06"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1"/>
    <n v="1"/>
    <n v="30"/>
    <x v="1"/>
    <x v="0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2"/>
    <n v="0.5"/>
    <n v="15"/>
    <x v="0"/>
    <x v="0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3"/>
    <n v="1"/>
    <n v="30"/>
    <x v="0"/>
    <x v="2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3"/>
    <n v="1"/>
    <n v="30"/>
    <x v="0"/>
    <x v="3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4"/>
    <n v="1"/>
    <n v="30"/>
    <x v="0"/>
    <x v="2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4"/>
    <n v="1"/>
    <n v="30"/>
    <x v="0"/>
    <x v="3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5"/>
    <n v="1"/>
    <n v="30"/>
    <x v="0"/>
    <x v="2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5"/>
    <n v="1"/>
    <n v="30"/>
    <x v="0"/>
    <x v="3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6"/>
    <n v="1"/>
    <n v="30"/>
    <x v="0"/>
    <x v="2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6"/>
    <n v="1"/>
    <n v="30"/>
    <x v="0"/>
    <x v="3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7"/>
    <n v="1"/>
    <n v="30"/>
    <x v="0"/>
    <x v="2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7"/>
    <n v="1"/>
    <n v="30"/>
    <x v="0"/>
    <x v="3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8"/>
    <n v="0.5"/>
    <n v="15"/>
    <x v="0"/>
    <x v="2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8"/>
    <n v="0.5"/>
    <n v="15"/>
    <x v="0"/>
    <x v="3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9"/>
    <n v="1"/>
    <n v="30"/>
    <x v="0"/>
    <x v="3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10"/>
    <n v="1"/>
    <n v="30"/>
    <x v="0"/>
    <x v="3"/>
    <s v="Ajuste Según ultima indicacion por neurologia de Mutual 09/06"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11"/>
    <n v="1"/>
    <n v="30"/>
    <x v="0"/>
    <x v="4"/>
    <m/>
    <x v="0"/>
    <m/>
    <m/>
  </r>
  <r>
    <x v="0"/>
    <s v="13319425-8"/>
    <s v="Fonasa"/>
    <n v="102"/>
    <s v="No Referidas"/>
    <s v="SAMU/MUTUAL llamar desde celular al 1407"/>
    <d v="2023-05-23T00:00:00"/>
    <n v="51"/>
    <d v="1975-04-06T00:00:00"/>
    <s v="TEC ABIERTO 2010 - EPILEPSIA 2° TEC - DETERIORO COGNITIVO 2° TEC - FA PAROXISTICA CON TACO - PCR RECUPERADO - ARTROSIS POST TRAUMATICA."/>
    <x v="12"/>
    <n v="0.5"/>
    <m/>
    <x v="0"/>
    <x v="5"/>
    <m/>
    <x v="1"/>
    <d v="2026-06-16T00:00:00"/>
    <d v="2026-06-16T00:00:00"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13"/>
    <n v="1"/>
    <n v="30"/>
    <x v="2"/>
    <x v="0"/>
    <s v="Cambio según ultimo control con medico 09/06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14"/>
    <n v="1"/>
    <n v="30"/>
    <x v="0"/>
    <x v="2"/>
    <m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14"/>
    <n v="1"/>
    <n v="30"/>
    <x v="0"/>
    <x v="3"/>
    <m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15"/>
    <n v="1"/>
    <n v="30"/>
    <x v="3"/>
    <x v="2"/>
    <s v="Solo en ojo izquierdo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15"/>
    <n v="1"/>
    <n v="30"/>
    <x v="3"/>
    <x v="3"/>
    <s v="Solo en ojo izquierdo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16"/>
    <n v="1"/>
    <n v="30"/>
    <x v="3"/>
    <x v="2"/>
    <s v="Aplicar en ambos ojos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16"/>
    <n v="1"/>
    <n v="30"/>
    <x v="3"/>
    <x v="3"/>
    <s v="Aplicar en ambos ojos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17"/>
    <n v="0.5"/>
    <n v="15"/>
    <x v="0"/>
    <x v="2"/>
    <s v="Cambio según ultimo control con medico 09/06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18"/>
    <n v="0.5"/>
    <n v="15"/>
    <x v="0"/>
    <x v="2"/>
    <s v="Cambio según ultimo control con medico 09/06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19"/>
    <n v="1"/>
    <n v="30"/>
    <x v="2"/>
    <x v="2"/>
    <s v="200cc diarios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20"/>
    <n v="12"/>
    <n v="360"/>
    <x v="4"/>
    <x v="6"/>
    <m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21"/>
    <n v="1"/>
    <n v="30"/>
    <x v="0"/>
    <x v="7"/>
    <s v="Administrar despues de almuerzo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21"/>
    <n v="1"/>
    <n v="30"/>
    <x v="0"/>
    <x v="8"/>
    <s v="Administrar despues de cena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22"/>
    <n v="1"/>
    <n v="30"/>
    <x v="3"/>
    <x v="3"/>
    <s v="Aplicar en ambos ojos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11"/>
    <n v="1"/>
    <n v="30"/>
    <x v="0"/>
    <x v="9"/>
    <s v="Cambio según ultimo control con medico 09/06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23"/>
    <n v="0.25"/>
    <n v="7.5"/>
    <x v="0"/>
    <x v="9"/>
    <s v="Cambio según ultimo control con medico 09/06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24"/>
    <n v="1"/>
    <n v="30"/>
    <x v="0"/>
    <x v="9"/>
    <s v="Cambio según ultimo control con medico 09/06"/>
    <x v="0"/>
    <m/>
    <m/>
  </r>
  <r>
    <x v="1"/>
    <s v="3408740-7"/>
    <s v="Fonasa"/>
    <n v="301"/>
    <s v="No Referidas"/>
    <s v="UCM/Apoderado Pablo Tobar Alcantara +56994235667"/>
    <d v="2023-10-31T00:00:00"/>
    <n v="93"/>
    <d v="1932-08-31T00:00:00"/>
    <s v="HTA - DM - TINITUS - DETERIORO COGNITIVO - DEMENCIA TIPO ALZHEIMER - CX: GLAUCOMA + CATARATA - CIRUGIA UROLOGICA DE MEATO URINARIO"/>
    <x v="25"/>
    <n v="7"/>
    <m/>
    <x v="3"/>
    <x v="10"/>
    <s v="Administrar en caso de agitacion"/>
    <x v="2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11"/>
    <n v="1"/>
    <n v="30"/>
    <x v="0"/>
    <x v="2"/>
    <m/>
    <x v="0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11"/>
    <n v="1"/>
    <n v="30"/>
    <x v="0"/>
    <x v="3"/>
    <m/>
    <x v="0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26"/>
    <n v="1"/>
    <n v="30"/>
    <x v="0"/>
    <x v="2"/>
    <m/>
    <x v="0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26"/>
    <n v="1"/>
    <n v="30"/>
    <x v="0"/>
    <x v="3"/>
    <m/>
    <x v="0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14"/>
    <n v="1"/>
    <n v="30"/>
    <x v="0"/>
    <x v="2"/>
    <m/>
    <x v="0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14"/>
    <n v="1"/>
    <n v="30"/>
    <x v="0"/>
    <x v="3"/>
    <m/>
    <x v="0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27"/>
    <n v="1"/>
    <n v="30"/>
    <x v="5"/>
    <x v="2"/>
    <m/>
    <x v="0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28"/>
    <n v="1"/>
    <n v="30"/>
    <x v="2"/>
    <x v="2"/>
    <s v="200 cc  los lunes y viernes de cada semana"/>
    <x v="0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29"/>
    <n v="1"/>
    <n v="30"/>
    <x v="0"/>
    <x v="3"/>
    <m/>
    <x v="0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30"/>
    <n v="1"/>
    <n v="30"/>
    <x v="0"/>
    <x v="3"/>
    <m/>
    <x v="0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31"/>
    <n v="1"/>
    <n v="30"/>
    <x v="3"/>
    <x v="3"/>
    <s v="una en cada ojo"/>
    <x v="0"/>
    <m/>
    <m/>
  </r>
  <r>
    <x v="2"/>
    <s v="3282638-5"/>
    <s v="Fonasa"/>
    <n v="203"/>
    <s v="No Referidas"/>
    <s v="Mutual 1407 desde celulares"/>
    <d v="2024-06-14T00:00:00"/>
    <n v="92"/>
    <d v="1933-08-27T00:00:00"/>
    <s v="TEC SECUELADO - DETERIORO COGNITIVO MODERADO - AFASIA - ALTERACION DE LA MARCHA Y EQUILIBRIO - TRASTORNO DE LA DEGLUSION"/>
    <x v="32"/>
    <n v="1"/>
    <m/>
    <x v="0"/>
    <x v="10"/>
    <m/>
    <x v="2"/>
    <m/>
    <m/>
  </r>
  <r>
    <x v="3"/>
    <s v="33674769-4"/>
    <s v="Fonasa"/>
    <n v="406"/>
    <s v="No Referidas"/>
    <s v="ACHS 1404"/>
    <d v="2025-10-28T00:00:00"/>
    <n v="51"/>
    <d v="1975-04-15T00:00:00"/>
    <s v="DG DE INGRESO: FX DE PLATILLOS TIBIALES SCH VI A IZQUIERDA, FX DE PLATILLOS TIBIALES SCH II A DERECHA, FX DE TOBILLO BIMALEOLAR A IZQ Y FX TALO A IZQ"/>
    <x v="33"/>
    <n v="1"/>
    <n v="30"/>
    <x v="0"/>
    <x v="2"/>
    <m/>
    <x v="0"/>
    <m/>
    <m/>
  </r>
  <r>
    <x v="3"/>
    <s v="33674769-4"/>
    <s v="Fonasa"/>
    <n v="406"/>
    <s v="No Referidas"/>
    <s v="ACHS 1404"/>
    <d v="2025-10-28T00:00:00"/>
    <n v="51"/>
    <d v="1975-04-15T00:00:00"/>
    <s v="DG DE INGRESO: FX DE PLATILLOS TIBIALES SCH VI A IZQUIERDA, FX DE PLATILLOS TIBIALES SCH II A DERECHA, FX DE TOBILLO BIMALEOLAR A IZQ Y FX TALO A IZQ"/>
    <x v="11"/>
    <n v="1"/>
    <n v="30"/>
    <x v="0"/>
    <x v="3"/>
    <m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34"/>
    <n v="1"/>
    <n v="30"/>
    <x v="0"/>
    <x v="2"/>
    <m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34"/>
    <n v="1"/>
    <n v="30"/>
    <x v="0"/>
    <x v="11"/>
    <m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35"/>
    <n v="1"/>
    <n v="30"/>
    <x v="0"/>
    <x v="2"/>
    <m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36"/>
    <n v="1"/>
    <n v="30"/>
    <x v="2"/>
    <x v="2"/>
    <m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37"/>
    <n v="1"/>
    <n v="30"/>
    <x v="5"/>
    <x v="2"/>
    <s v="Administrar 1/2 sobre diario, en caso de estreñimiento sobre completo"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38"/>
    <n v="1"/>
    <n v="30"/>
    <x v="0"/>
    <x v="2"/>
    <m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39"/>
    <n v="1.5"/>
    <n v="45"/>
    <x v="0"/>
    <x v="2"/>
    <m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40"/>
    <n v="1"/>
    <n v="30"/>
    <x v="0"/>
    <x v="11"/>
    <m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41"/>
    <n v="2"/>
    <n v="60"/>
    <x v="0"/>
    <x v="11"/>
    <m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42"/>
    <n v="1"/>
    <n v="30"/>
    <x v="0"/>
    <x v="11"/>
    <m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43"/>
    <n v="1"/>
    <n v="30"/>
    <x v="0"/>
    <x v="3"/>
    <m/>
    <x v="0"/>
    <m/>
    <m/>
  </r>
  <r>
    <x v="4"/>
    <s v="2492536-6"/>
    <s v="Fonasa"/>
    <n v="217"/>
    <s v="No Referidas"/>
    <s v="HELP 800800911 / Apoderado Jorge Weis +56996790887"/>
    <d v="2021-02-26T00:00:00"/>
    <n v="96"/>
    <d v="1929-08-18T00:00:00"/>
    <s v="HTA - HIPOACUSIA - ALTO RIESGO DE CAIDA - DETERIORO COGNITIVO"/>
    <x v="25"/>
    <n v="10"/>
    <n v="300"/>
    <x v="3"/>
    <x v="10"/>
    <s v="Administrar en caso de irritabilidad"/>
    <x v="0"/>
    <m/>
    <m/>
  </r>
  <r>
    <x v="5"/>
    <s v="6973164-3"/>
    <s v="SP"/>
    <n v="206"/>
    <s v="No Referidas"/>
    <s v="HELP 800800911 / Apoderado Jaime Arriagada +56976495491"/>
    <d v="2022-09-30T00:00:00"/>
    <n v="72"/>
    <d v="1953-06-23T00:00:00"/>
    <s v="ALZHEIMER"/>
    <x v="44"/>
    <n v="1"/>
    <n v="30"/>
    <x v="0"/>
    <x v="0"/>
    <m/>
    <x v="0"/>
    <m/>
    <m/>
  </r>
  <r>
    <x v="5"/>
    <s v="6973164-3"/>
    <s v="SP"/>
    <n v="206"/>
    <s v="No Referidas"/>
    <s v="HELP 800800911 / Apoderado Jaime Arriagada +56976495491"/>
    <d v="2022-09-30T00:00:00"/>
    <n v="72"/>
    <d v="1953-06-23T00:00:00"/>
    <s v="ALZHEIMER"/>
    <x v="45"/>
    <n v="1"/>
    <n v="30"/>
    <x v="0"/>
    <x v="2"/>
    <m/>
    <x v="0"/>
    <m/>
    <m/>
  </r>
  <r>
    <x v="5"/>
    <s v="6973164-3"/>
    <s v="SP"/>
    <n v="206"/>
    <s v="No Referidas"/>
    <s v="HELP 800800911 / Apoderado Jaime Arriagada +56976495491"/>
    <d v="2022-09-30T00:00:00"/>
    <n v="72"/>
    <d v="1953-06-23T00:00:00"/>
    <s v="ALZHEIMER"/>
    <x v="46"/>
    <n v="1"/>
    <n v="30"/>
    <x v="0"/>
    <x v="2"/>
    <m/>
    <x v="0"/>
    <m/>
    <m/>
  </r>
  <r>
    <x v="5"/>
    <s v="6973164-3"/>
    <s v="SP"/>
    <n v="206"/>
    <s v="No Referidas"/>
    <s v="HELP 800800911 / Apoderado Jaime Arriagada +56976495491"/>
    <d v="2022-09-30T00:00:00"/>
    <n v="72"/>
    <d v="1953-06-23T00:00:00"/>
    <s v="ALZHEIMER"/>
    <x v="47"/>
    <n v="1"/>
    <n v="30"/>
    <x v="0"/>
    <x v="2"/>
    <m/>
    <x v="0"/>
    <m/>
    <m/>
  </r>
  <r>
    <x v="5"/>
    <s v="6973164-3"/>
    <s v="SP"/>
    <n v="206"/>
    <s v="No Referidas"/>
    <s v="HELP 800800911 / Apoderado Jaime Arriagada +56976495491"/>
    <d v="2022-09-30T00:00:00"/>
    <n v="72"/>
    <d v="1953-06-23T00:00:00"/>
    <s v="ALZHEIMER"/>
    <x v="48"/>
    <n v="1"/>
    <n v="30"/>
    <x v="6"/>
    <x v="7"/>
    <s v="Rotar diariamente en escapula derecha e izquierda"/>
    <x v="0"/>
    <m/>
    <m/>
  </r>
  <r>
    <x v="5"/>
    <s v="6973164-3"/>
    <s v="SP"/>
    <n v="206"/>
    <s v="No Referidas"/>
    <s v="HELP 800800911 / Apoderado Jaime Arriagada +56976495491"/>
    <d v="2022-09-30T00:00:00"/>
    <n v="72"/>
    <d v="1953-06-23T00:00:00"/>
    <s v="ALZHEIMER"/>
    <x v="49"/>
    <n v="1"/>
    <n v="30"/>
    <x v="0"/>
    <x v="7"/>
    <m/>
    <x v="0"/>
    <m/>
    <m/>
  </r>
  <r>
    <x v="5"/>
    <s v="6973164-3"/>
    <s v="SP"/>
    <n v="206"/>
    <s v="No Referidas"/>
    <s v="HELP 800800911 / Apoderado Jaime Arriagada +56976495491"/>
    <d v="2022-09-30T00:00:00"/>
    <n v="72"/>
    <d v="1953-06-23T00:00:00"/>
    <s v="ALZHEIMER"/>
    <x v="50"/>
    <n v="1"/>
    <n v="30"/>
    <x v="0"/>
    <x v="3"/>
    <m/>
    <x v="0"/>
    <m/>
    <m/>
  </r>
  <r>
    <x v="5"/>
    <s v="6973164-3"/>
    <s v="SP"/>
    <n v="206"/>
    <s v="No Referidas"/>
    <s v="HELP 800800911 / Apoderado Jaime Arriagada +56976495491"/>
    <d v="2022-09-30T00:00:00"/>
    <n v="72"/>
    <d v="1953-06-23T00:00:00"/>
    <s v="ALZHEIMER"/>
    <x v="51"/>
    <n v="0.5"/>
    <n v="15"/>
    <x v="0"/>
    <x v="3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2"/>
    <n v="2"/>
    <n v="60"/>
    <x v="7"/>
    <x v="12"/>
    <s v="Con Aerocamara"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2"/>
    <n v="2"/>
    <n v="60"/>
    <x v="7"/>
    <x v="13"/>
    <s v="Con Aerocamara"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2"/>
    <n v="2"/>
    <n v="60"/>
    <x v="7"/>
    <x v="14"/>
    <s v="Con Aerocamara"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2"/>
    <n v="2"/>
    <n v="60"/>
    <x v="7"/>
    <x v="8"/>
    <s v="Con Aerocamara"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3"/>
    <n v="14"/>
    <n v="420"/>
    <x v="4"/>
    <x v="0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13"/>
    <n v="1"/>
    <n v="30"/>
    <x v="2"/>
    <x v="0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4"/>
    <n v="1"/>
    <n v="30"/>
    <x v="0"/>
    <x v="0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5"/>
    <n v="7"/>
    <n v="210"/>
    <x v="3"/>
    <x v="2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5"/>
    <n v="7"/>
    <n v="210"/>
    <x v="3"/>
    <x v="1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6"/>
    <n v="0.25"/>
    <n v="7.5"/>
    <x v="0"/>
    <x v="2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6"/>
    <n v="0.25"/>
    <n v="7.5"/>
    <x v="0"/>
    <x v="1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7"/>
    <n v="1"/>
    <n v="30"/>
    <x v="3"/>
    <x v="2"/>
    <s v="Aplicar en ambos ojos"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7"/>
    <n v="1"/>
    <n v="30"/>
    <x v="3"/>
    <x v="3"/>
    <s v="Aplicar en ambos ojos"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45"/>
    <n v="1"/>
    <n v="30"/>
    <x v="0"/>
    <x v="2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45"/>
    <n v="1"/>
    <n v="30"/>
    <x v="0"/>
    <x v="3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37"/>
    <n v="1"/>
    <n v="30"/>
    <x v="5"/>
    <x v="2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14"/>
    <n v="1"/>
    <n v="30"/>
    <x v="0"/>
    <x v="2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8"/>
    <n v="1"/>
    <n v="30"/>
    <x v="0"/>
    <x v="2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9"/>
    <n v="1"/>
    <n v="30"/>
    <x v="0"/>
    <x v="7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60"/>
    <n v="1"/>
    <n v="30"/>
    <x v="0"/>
    <x v="8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61"/>
    <n v="1"/>
    <n v="30"/>
    <x v="3"/>
    <x v="11"/>
    <s v="Aplicar en ambos ojos"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11"/>
    <n v="1"/>
    <n v="30"/>
    <x v="0"/>
    <x v="3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32"/>
    <n v="1"/>
    <n v="30"/>
    <x v="0"/>
    <x v="3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6"/>
    <n v="0.75"/>
    <n v="22.5"/>
    <x v="0"/>
    <x v="3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62"/>
    <n v="0.75"/>
    <n v="22.5"/>
    <x v="0"/>
    <x v="3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63"/>
    <n v="1"/>
    <n v="30"/>
    <x v="0"/>
    <x v="3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55"/>
    <n v="18"/>
    <n v="540"/>
    <x v="3"/>
    <x v="3"/>
    <m/>
    <x v="0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64"/>
    <n v="1"/>
    <m/>
    <x v="0"/>
    <x v="10"/>
    <m/>
    <x v="2"/>
    <m/>
    <m/>
  </r>
  <r>
    <x v="6"/>
    <s v="5434595-k"/>
    <s v="Fonasa"/>
    <n v="405"/>
    <s v="No Referidas"/>
    <s v="HELP: 800800911"/>
    <d v="2026-01-26T00:00:00"/>
    <n v="84"/>
    <d v="1942-04-07T00:00:00"/>
    <s v="HTA - DMIR - ACV (HACE MAS DE 20 AÑOS)"/>
    <x v="65"/>
    <n v="0.5"/>
    <m/>
    <x v="0"/>
    <x v="10"/>
    <s v="Si luego de 60 minutos no concilia el sueño o por agitacion psicomotora"/>
    <x v="2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66"/>
    <n v="1"/>
    <n v="30"/>
    <x v="0"/>
    <x v="0"/>
    <m/>
    <x v="0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67"/>
    <n v="1"/>
    <n v="30"/>
    <x v="2"/>
    <x v="2"/>
    <m/>
    <x v="0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67"/>
    <n v="1"/>
    <n v="30"/>
    <x v="2"/>
    <x v="3"/>
    <m/>
    <x v="0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68"/>
    <n v="1"/>
    <n v="30"/>
    <x v="2"/>
    <x v="2"/>
    <m/>
    <x v="0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68"/>
    <n v="1"/>
    <n v="30"/>
    <x v="2"/>
    <x v="3"/>
    <m/>
    <x v="0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69"/>
    <n v="1"/>
    <n v="30"/>
    <x v="0"/>
    <x v="2"/>
    <m/>
    <x v="0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70"/>
    <n v="1"/>
    <n v="30"/>
    <x v="2"/>
    <x v="2"/>
    <m/>
    <x v="0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47"/>
    <n v="2"/>
    <n v="60"/>
    <x v="0"/>
    <x v="2"/>
    <m/>
    <x v="0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71"/>
    <n v="1"/>
    <n v="30"/>
    <x v="0"/>
    <x v="2"/>
    <m/>
    <x v="0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43"/>
    <n v="1"/>
    <n v="30"/>
    <x v="0"/>
    <x v="3"/>
    <m/>
    <x v="0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27"/>
    <n v="1"/>
    <m/>
    <x v="5"/>
    <x v="10"/>
    <s v="Administrar según la necesidad del paciente"/>
    <x v="2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72"/>
    <n v="1"/>
    <m/>
    <x v="0"/>
    <x v="3"/>
    <m/>
    <x v="2"/>
    <m/>
    <m/>
  </r>
  <r>
    <x v="7"/>
    <s v="7962144-7"/>
    <s v="Fonasa"/>
    <n v="402"/>
    <s v="No Referidas"/>
    <s v="ACHS 1404 Sra yasna vargas (hija) +56998612987 (hija)"/>
    <d v="2026-03-04T00:00:00"/>
    <n v="66"/>
    <d v="1959-08-12T00:00:00"/>
    <s v="lesion medular incompleta NN L1 ASIA D-paraparesia leve-moderada con claudicacion de la marcha,usario de un baston ,vejiga e intestino neurogenico-de neurogenico-Aracnoiditis segmentaria y focal de la colade caballo2. Artrosis de cadera 2daria a sobrecarga articular-dolor cronico lumbosacro y de cadera controlado 3.Compresion del n mediado en el tunel del carpo bilateral operado(mayo 2022) En silla de ruedas usando OTP logra marcha con uso de bastones ,movilidad completa e indolora. Dolor a la palpacion periescapular bilateral."/>
    <x v="43"/>
    <n v="1"/>
    <m/>
    <x v="0"/>
    <x v="10"/>
    <s v="Administrar en caso de insomnio,( Dosis maxima 4 comp.)"/>
    <x v="2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3"/>
    <n v="1"/>
    <n v="30"/>
    <x v="0"/>
    <x v="0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3"/>
    <n v="1"/>
    <n v="30"/>
    <x v="0"/>
    <x v="1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3"/>
    <n v="1"/>
    <n v="30"/>
    <x v="0"/>
    <x v="4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4"/>
    <n v="2"/>
    <n v="60"/>
    <x v="0"/>
    <x v="0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4"/>
    <n v="2"/>
    <n v="60"/>
    <x v="0"/>
    <x v="1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4"/>
    <n v="2"/>
    <n v="60"/>
    <x v="0"/>
    <x v="4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5"/>
    <n v="1"/>
    <n v="30"/>
    <x v="0"/>
    <x v="0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68"/>
    <n v="1"/>
    <n v="30"/>
    <x v="2"/>
    <x v="2"/>
    <s v="Realizar aplicación en brazos y piernas "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68"/>
    <n v="1"/>
    <n v="30"/>
    <x v="2"/>
    <x v="1"/>
    <s v="Realizar aplicación en brazos y piernas "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68"/>
    <n v="1"/>
    <n v="30"/>
    <x v="2"/>
    <x v="3"/>
    <s v="Realizar aplicación en brazos y piernas "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6"/>
    <n v="1"/>
    <n v="30"/>
    <x v="0"/>
    <x v="0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6"/>
    <n v="1"/>
    <n v="30"/>
    <x v="0"/>
    <x v="1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6"/>
    <n v="1"/>
    <n v="30"/>
    <x v="0"/>
    <x v="4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57"/>
    <n v="1"/>
    <n v="30"/>
    <x v="3"/>
    <x v="2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57"/>
    <n v="1"/>
    <n v="30"/>
    <x v="3"/>
    <x v="3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7"/>
    <n v="1"/>
    <n v="30"/>
    <x v="0"/>
    <x v="2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7"/>
    <n v="1"/>
    <n v="30"/>
    <x v="0"/>
    <x v="3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45"/>
    <n v="2"/>
    <n v="60"/>
    <x v="0"/>
    <x v="2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32"/>
    <n v="2"/>
    <n v="60"/>
    <x v="0"/>
    <x v="1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8"/>
    <n v="1"/>
    <n v="30"/>
    <x v="0"/>
    <x v="3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79"/>
    <n v="1"/>
    <n v="30"/>
    <x v="0"/>
    <x v="3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63"/>
    <n v="1"/>
    <n v="30"/>
    <x v="0"/>
    <x v="3"/>
    <m/>
    <x v="0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32"/>
    <n v="2"/>
    <m/>
    <x v="0"/>
    <x v="0"/>
    <m/>
    <x v="1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32"/>
    <n v="2"/>
    <m/>
    <x v="0"/>
    <x v="4"/>
    <m/>
    <x v="1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80"/>
    <s v="15ml"/>
    <m/>
    <x v="8"/>
    <x v="2"/>
    <m/>
    <x v="1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80"/>
    <s v="15ml"/>
    <m/>
    <x v="8"/>
    <x v="3"/>
    <m/>
    <x v="1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81"/>
    <n v="2"/>
    <m/>
    <x v="1"/>
    <x v="2"/>
    <m/>
    <x v="1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81"/>
    <n v="2"/>
    <m/>
    <x v="1"/>
    <x v="3"/>
    <m/>
    <x v="1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64"/>
    <n v="1"/>
    <m/>
    <x v="0"/>
    <x v="2"/>
    <m/>
    <x v="1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64"/>
    <n v="1"/>
    <m/>
    <x v="0"/>
    <x v="3"/>
    <m/>
    <x v="1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82"/>
    <n v="1"/>
    <m/>
    <x v="0"/>
    <x v="10"/>
    <s v="Administrar en caso de espasmos musculares y/o mialgias."/>
    <x v="2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83"/>
    <s v="1ml"/>
    <m/>
    <x v="9"/>
    <x v="10"/>
    <s v="Administrar en caso de estreñimiento"/>
    <x v="2"/>
    <m/>
    <m/>
  </r>
  <r>
    <x v="8"/>
    <s v="11380382-7"/>
    <s v="Fonasa"/>
    <n v="201"/>
    <s v="No Referidas"/>
    <s v="Mutual 1407 desde celulares/ Samu"/>
    <d v="2024-06-19T00:00:00"/>
    <n v="57"/>
    <d v="1969-06-01T00:00:00"/>
    <s v="Politraumatismo-Tec leve no complicado.Trauma facialcomplejo-Trauma toraxico ,HTA."/>
    <x v="64"/>
    <n v="1"/>
    <m/>
    <x v="1"/>
    <x v="10"/>
    <m/>
    <x v="2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13"/>
    <n v="1"/>
    <n v="30"/>
    <x v="2"/>
    <x v="0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13"/>
    <n v="1"/>
    <n v="30"/>
    <x v="2"/>
    <x v="2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13"/>
    <n v="1"/>
    <n v="30"/>
    <x v="2"/>
    <x v="7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13"/>
    <n v="1"/>
    <n v="30"/>
    <x v="2"/>
    <x v="15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13"/>
    <n v="1"/>
    <n v="30"/>
    <x v="2"/>
    <x v="8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32"/>
    <n v="2"/>
    <n v="60"/>
    <x v="0"/>
    <x v="0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32"/>
    <n v="2"/>
    <n v="60"/>
    <x v="0"/>
    <x v="1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32"/>
    <n v="2"/>
    <n v="60"/>
    <x v="0"/>
    <x v="4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66"/>
    <n v="1"/>
    <n v="30"/>
    <x v="0"/>
    <x v="0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53"/>
    <n v="22"/>
    <n v="660"/>
    <x v="4"/>
    <x v="0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59"/>
    <n v="1"/>
    <n v="30"/>
    <x v="0"/>
    <x v="2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59"/>
    <n v="1"/>
    <n v="30"/>
    <x v="0"/>
    <x v="7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84"/>
    <n v="1"/>
    <n v="30"/>
    <x v="2"/>
    <x v="2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84"/>
    <n v="1"/>
    <n v="30"/>
    <x v="2"/>
    <x v="15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85"/>
    <n v="11"/>
    <n v="330"/>
    <x v="3"/>
    <x v="2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85"/>
    <n v="11"/>
    <n v="330"/>
    <x v="3"/>
    <x v="3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7"/>
    <n v="1"/>
    <n v="30"/>
    <x v="0"/>
    <x v="2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7"/>
    <n v="1"/>
    <n v="30"/>
    <x v="0"/>
    <x v="3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86"/>
    <n v="2"/>
    <n v="60"/>
    <x v="0"/>
    <x v="2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37"/>
    <n v="1"/>
    <n v="30"/>
    <x v="5"/>
    <x v="1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87"/>
    <n v="2"/>
    <n v="60"/>
    <x v="0"/>
    <x v="3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11"/>
    <n v="3"/>
    <n v="90"/>
    <x v="0"/>
    <x v="3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53"/>
    <n v="8"/>
    <n v="240"/>
    <x v="4"/>
    <x v="9"/>
    <m/>
    <x v="0"/>
    <m/>
    <m/>
  </r>
  <r>
    <x v="9"/>
    <s v="8677832-7"/>
    <s v="Fonasa"/>
    <n v="413"/>
    <s v="No Referidas"/>
    <s v="ACHS llamar anexo 1404 desde celular"/>
    <d v="2024-04-08T00:00:00"/>
    <n v="68"/>
    <d v="1958-01-10T00:00:00"/>
    <s v="DMIR-HTA-DLP.Pensionado del año 1995 (70%) por accidente laboral del año 1990,donde recibe descarga electrica de 15000 voltios resultando con: ceguera parcial en ojo izq.DOC severeo y deterioro cognitivo( trastorno organico de la personalidad) SD LANCE ADAMS-SD ataxico-Hipoacusia oido izquierdo -Perdida vision ocular total izq."/>
    <x v="88"/>
    <n v="1"/>
    <m/>
    <x v="10"/>
    <x v="2"/>
    <m/>
    <x v="1"/>
    <d v="2026-06-15T00:00:00"/>
    <d v="2026-07-24T00:00:00"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13"/>
    <n v="1"/>
    <n v="30"/>
    <x v="2"/>
    <x v="0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13"/>
    <n v="1"/>
    <n v="30"/>
    <x v="2"/>
    <x v="14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13"/>
    <n v="1"/>
    <n v="30"/>
    <x v="2"/>
    <x v="5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89"/>
    <n v="45"/>
    <n v="1350"/>
    <x v="4"/>
    <x v="0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90"/>
    <n v="1"/>
    <n v="30"/>
    <x v="0"/>
    <x v="0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91"/>
    <n v="1"/>
    <n v="30"/>
    <x v="3"/>
    <x v="2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91"/>
    <n v="1"/>
    <n v="30"/>
    <x v="3"/>
    <x v="3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92"/>
    <n v="1"/>
    <n v="30"/>
    <x v="0"/>
    <x v="2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92"/>
    <n v="1"/>
    <n v="30"/>
    <x v="0"/>
    <x v="3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93"/>
    <n v="1"/>
    <n v="30"/>
    <x v="0"/>
    <x v="2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65"/>
    <n v="0.25"/>
    <n v="7.5"/>
    <x v="0"/>
    <x v="2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94"/>
    <n v="1"/>
    <n v="30"/>
    <x v="1"/>
    <x v="2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27"/>
    <n v="1"/>
    <n v="30"/>
    <x v="5"/>
    <x v="2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95"/>
    <n v="1"/>
    <n v="30"/>
    <x v="0"/>
    <x v="7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96"/>
    <n v="0"/>
    <n v="0"/>
    <x v="4"/>
    <x v="16"/>
    <s v="Administrar según esquema"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96"/>
    <n v="0"/>
    <n v="0"/>
    <x v="4"/>
    <x v="15"/>
    <s v="Administrar según esquema"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65"/>
    <n v="2"/>
    <n v="60"/>
    <x v="0"/>
    <x v="3"/>
    <m/>
    <x v="0"/>
    <m/>
    <m/>
  </r>
  <r>
    <x v="10"/>
    <s v="4857203-0"/>
    <s v="Fonasa"/>
    <n v="409"/>
    <s v="No refiere/intolerante a la lactosa"/>
    <s v="UCM 22391444 / Aposerado Cynthia Sofjer Bizuela 999470671"/>
    <d v="2024-09-02T00:00:00"/>
    <n v="84"/>
    <d v="1941-06-28T00:00:00"/>
    <s v="HTA-DM2 IR-ICA-IAA-ANSIEDAD-GONADORTROSIS-HIPOTIROIDISMO-Antecedentes Qx cesarea-Apendicectomia."/>
    <x v="97"/>
    <n v="30"/>
    <n v="900"/>
    <x v="3"/>
    <x v="10"/>
    <s v="Administrar si posterior a tomar Aerogastrol continua con dolor estomacal"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25"/>
    <n v="10"/>
    <n v="300"/>
    <x v="3"/>
    <x v="2"/>
    <m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25"/>
    <n v="10"/>
    <n v="300"/>
    <x v="3"/>
    <x v="1"/>
    <m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14"/>
    <n v="1"/>
    <n v="30"/>
    <x v="0"/>
    <x v="2"/>
    <m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14"/>
    <n v="1"/>
    <n v="30"/>
    <x v="0"/>
    <x v="3"/>
    <m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45"/>
    <n v="1"/>
    <n v="30"/>
    <x v="0"/>
    <x v="2"/>
    <m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98"/>
    <n v="1"/>
    <n v="30"/>
    <x v="0"/>
    <x v="2"/>
    <m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99"/>
    <n v="1"/>
    <n v="30"/>
    <x v="0"/>
    <x v="2"/>
    <m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56"/>
    <n v="1"/>
    <n v="30"/>
    <x v="0"/>
    <x v="2"/>
    <m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100"/>
    <n v="1.5"/>
    <n v="45"/>
    <x v="0"/>
    <x v="2"/>
    <m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101"/>
    <n v="0.5"/>
    <n v="15"/>
    <x v="0"/>
    <x v="1"/>
    <m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102"/>
    <n v="1"/>
    <n v="30"/>
    <x v="0"/>
    <x v="3"/>
    <m/>
    <x v="0"/>
    <m/>
    <m/>
  </r>
  <r>
    <x v="11"/>
    <s v="3979734-8"/>
    <s v="Fonasa"/>
    <n v="303"/>
    <s v="No Referidas"/>
    <s v="HELP: 800800911/Apoderada Barbara Bugueño 985152166"/>
    <d v="2025-01-07T00:00:00"/>
    <n v="88"/>
    <d v="1927-11-12T00:00:00"/>
    <s v="HTA-DMNIR-ARTROSIS-DEMENCIA"/>
    <x v="11"/>
    <n v="3"/>
    <n v="90"/>
    <x v="0"/>
    <x v="3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03"/>
    <n v="1"/>
    <n v="30"/>
    <x v="0"/>
    <x v="2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03"/>
    <n v="1"/>
    <n v="30"/>
    <x v="0"/>
    <x v="3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04"/>
    <n v="1"/>
    <n v="30"/>
    <x v="0"/>
    <x v="2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04"/>
    <n v="1"/>
    <n v="30"/>
    <x v="0"/>
    <x v="3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05"/>
    <n v="1"/>
    <n v="30"/>
    <x v="0"/>
    <x v="2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05"/>
    <n v="1"/>
    <n v="30"/>
    <x v="0"/>
    <x v="3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85"/>
    <n v="3"/>
    <n v="90"/>
    <x v="3"/>
    <x v="2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85"/>
    <n v="3"/>
    <n v="90"/>
    <x v="3"/>
    <x v="3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33"/>
    <n v="2"/>
    <n v="60"/>
    <x v="0"/>
    <x v="2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06"/>
    <n v="0.5"/>
    <n v="15"/>
    <x v="0"/>
    <x v="2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07"/>
    <n v="1"/>
    <n v="30"/>
    <x v="11"/>
    <x v="2"/>
    <s v="Jabon para el lavado de axilas"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08"/>
    <n v="1"/>
    <n v="30"/>
    <x v="0"/>
    <x v="2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50"/>
    <n v="1"/>
    <n v="30"/>
    <x v="0"/>
    <x v="7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58"/>
    <n v="1"/>
    <n v="30"/>
    <x v="0"/>
    <x v="3"/>
    <m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07"/>
    <n v="1"/>
    <n v="30"/>
    <x v="11"/>
    <x v="3"/>
    <s v="lavar ambas axilas antes de acostarse "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09"/>
    <n v="1"/>
    <n v="30"/>
    <x v="2"/>
    <x v="3"/>
    <s v="aplicar posterior lavado de axila"/>
    <x v="0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10"/>
    <n v="1"/>
    <m/>
    <x v="0"/>
    <x v="2"/>
    <s v="En caso de crisis ulcerosa"/>
    <x v="2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110"/>
    <n v="1"/>
    <m/>
    <x v="0"/>
    <x v="3"/>
    <s v="En caso de crisis ulcerosa"/>
    <x v="2"/>
    <m/>
    <m/>
  </r>
  <r>
    <x v="12"/>
    <s v="3463124-7"/>
    <s v="Fonasa"/>
    <n v="406"/>
    <s v="ATROPINA/AINES"/>
    <s v="HELP 800800911 /Apoderada Carmen Mella Campos 94771050"/>
    <d v="2025-12-15T00:00:00"/>
    <n v="91"/>
    <d v="1935-05-27T00:00:00"/>
    <s v="Colitis ulcerosa-Anemia-Queratosis Seborreica-Polipos Rectales,Daño renal leve,Osteoporosis avanzada,ACV antiguo,Deterioro cognitivo en estudio,FX antigua de pelvis,parrilla costal, muñeca,hombro."/>
    <x v="25"/>
    <n v="5"/>
    <m/>
    <x v="3"/>
    <x v="10"/>
    <m/>
    <x v="2"/>
    <m/>
    <m/>
  </r>
  <r>
    <x v="13"/>
    <s v="6024386-7"/>
    <s v="SP"/>
    <n v="404"/>
    <s v="AINES"/>
    <s v="UCM 223914444 Apoderada Karen Del Carmen Valiente Carriel"/>
    <d v="2026-06-09T00:00:00"/>
    <n v="76"/>
    <d v="1950-06-07T00:00:00"/>
    <s v="Trastorno del sueño, depresion,ansiedad,Enf de Hashimoto, sindrome de intestino permeable"/>
    <x v="111"/>
    <n v="1"/>
    <n v="30"/>
    <x v="0"/>
    <x v="0"/>
    <s v="de lunes a viernes"/>
    <x v="0"/>
    <m/>
    <m/>
  </r>
  <r>
    <x v="13"/>
    <s v="6024386-7"/>
    <s v="SP"/>
    <n v="404"/>
    <s v="AINES"/>
    <s v="UCM 223914444 Apoderada Karen Del Carmen Valiente Carriel"/>
    <d v="2026-06-09T00:00:00"/>
    <n v="76"/>
    <d v="1950-06-07T00:00:00"/>
    <s v="Trastorno del sueño, depresion,ansiedad,Enf de Hashimoto, sindrome de intestino permeable"/>
    <x v="39"/>
    <n v="0.5"/>
    <n v="15"/>
    <x v="0"/>
    <x v="3"/>
    <m/>
    <x v="0"/>
    <m/>
    <m/>
  </r>
  <r>
    <x v="13"/>
    <s v="6024386-7"/>
    <s v="SP"/>
    <n v="404"/>
    <s v="AINES"/>
    <s v="UCM 223914444 Apoderada Karen Del Carmen Valiente Carriel"/>
    <d v="2026-06-09T00:00:00"/>
    <n v="76"/>
    <d v="1950-06-07T00:00:00"/>
    <s v="Trastorno del sueño, depresion,ansiedad,Enf de Hashimoto, sindrome de intestino permeable"/>
    <x v="40"/>
    <n v="0.5"/>
    <n v="15"/>
    <x v="0"/>
    <x v="3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1"/>
    <n v="1"/>
    <n v="30"/>
    <x v="1"/>
    <x v="0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112"/>
    <n v="1"/>
    <n v="30"/>
    <x v="12"/>
    <x v="2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112"/>
    <n v="1"/>
    <n v="30"/>
    <x v="12"/>
    <x v="11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27"/>
    <n v="1"/>
    <n v="30"/>
    <x v="5"/>
    <x v="2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27"/>
    <n v="1"/>
    <n v="30"/>
    <x v="5"/>
    <x v="3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68"/>
    <n v="1"/>
    <n v="30"/>
    <x v="2"/>
    <x v="2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68"/>
    <n v="1"/>
    <n v="30"/>
    <x v="2"/>
    <x v="3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113"/>
    <n v="1"/>
    <n v="30"/>
    <x v="0"/>
    <x v="2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114"/>
    <n v="1"/>
    <n v="30"/>
    <x v="6"/>
    <x v="2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115"/>
    <n v="2"/>
    <n v="60"/>
    <x v="0"/>
    <x v="3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39"/>
    <n v="2"/>
    <n v="60"/>
    <x v="0"/>
    <x v="3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116"/>
    <n v="1"/>
    <n v="30"/>
    <x v="1"/>
    <x v="3"/>
    <m/>
    <x v="0"/>
    <m/>
    <m/>
  </r>
  <r>
    <x v="14"/>
    <s v="5937349-8"/>
    <s v="Fonasa"/>
    <n v="207"/>
    <s v="No Referidas"/>
    <s v="ACHS 1404 Apoderada Silvia Acuña ( esposa) 966755587"/>
    <d v="2026-05-12T00:00:00"/>
    <n v="78"/>
    <d v="1947-12-07T00:00:00"/>
    <s v="Tec abiero, contusion cerebral grave, luxacion de rodilla izq. Desorden de personalidad y crisis de panico post TEC, artrosis tricopartimental rodilla izq. Daño organico severo, sd post contusional."/>
    <x v="117"/>
    <n v="1"/>
    <m/>
    <x v="0"/>
    <x v="10"/>
    <s v="en caso de dolor "/>
    <x v="2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0"/>
    <n v="1"/>
    <n v="30"/>
    <x v="0"/>
    <x v="0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0"/>
    <n v="1"/>
    <n v="30"/>
    <x v="0"/>
    <x v="1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0"/>
    <n v="1"/>
    <n v="30"/>
    <x v="0"/>
    <x v="4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35"/>
    <n v="1"/>
    <n v="30"/>
    <x v="0"/>
    <x v="2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35"/>
    <n v="1"/>
    <n v="30"/>
    <x v="0"/>
    <x v="3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27"/>
    <n v="1"/>
    <n v="30"/>
    <x v="5"/>
    <x v="2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27"/>
    <n v="1"/>
    <n v="30"/>
    <x v="5"/>
    <x v="3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68"/>
    <n v="1"/>
    <n v="30"/>
    <x v="2"/>
    <x v="2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68"/>
    <n v="1"/>
    <n v="30"/>
    <x v="2"/>
    <x v="3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18"/>
    <n v="1"/>
    <n v="30"/>
    <x v="0"/>
    <x v="2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18"/>
    <n v="1"/>
    <n v="30"/>
    <x v="0"/>
    <x v="3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19"/>
    <n v="1"/>
    <n v="30"/>
    <x v="0"/>
    <x v="2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20"/>
    <n v="1"/>
    <n v="30"/>
    <x v="0"/>
    <x v="2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21"/>
    <n v="30"/>
    <n v="900"/>
    <x v="13"/>
    <x v="2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22"/>
    <n v="0.5"/>
    <n v="15"/>
    <x v="0"/>
    <x v="2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23"/>
    <n v="1"/>
    <n v="30"/>
    <x v="0"/>
    <x v="2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58"/>
    <n v="1"/>
    <n v="30"/>
    <x v="0"/>
    <x v="2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"/>
    <n v="1"/>
    <n v="30"/>
    <x v="1"/>
    <x v="2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11"/>
    <n v="2"/>
    <n v="60"/>
    <x v="0"/>
    <x v="7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74"/>
    <n v="1"/>
    <n v="30"/>
    <x v="0"/>
    <x v="1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63"/>
    <n v="1"/>
    <n v="30"/>
    <x v="0"/>
    <x v="3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78"/>
    <n v="1"/>
    <n v="30"/>
    <x v="0"/>
    <x v="3"/>
    <m/>
    <x v="0"/>
    <m/>
    <m/>
  </r>
  <r>
    <x v="15"/>
    <s v="9777651-2"/>
    <s v="Fonasa"/>
    <n v="407"/>
    <s v="No Referidas"/>
    <s v="ACHS llamar anexo 1404 desde celular"/>
    <d v="2024-05-15T00:00:00"/>
    <n v="61"/>
    <d v="1965-04-01T00:00:00"/>
    <s v="Tec grave complicado-HED extenso parietal izq operado-Contusion parieto-temporal izq drenada-DAD grado ll- cefalea post tec-Doc post tec fx platillos tibiales operada(.Duelo fallece su hijo en junio 2026 por linfoma),HTA ACV isquemico lacunar putaminal derecho."/>
    <x v="32"/>
    <n v="2"/>
    <m/>
    <x v="0"/>
    <x v="10"/>
    <s v="administrar en caso de dolor "/>
    <x v="2"/>
    <m/>
    <m/>
  </r>
  <r>
    <x v="16"/>
    <s v="1856610-9"/>
    <s v="Fonasa"/>
    <n v="313"/>
    <s v="No Referidas"/>
    <s v="UCM 223914444 Apoderado Sra Nora Labra Chacano993597953"/>
    <d v="2019-06-17T00:00:00"/>
    <n v="103"/>
    <d v="1923-04-29T00:00:00"/>
    <s v="Demencia"/>
    <x v="32"/>
    <n v="1"/>
    <n v="30"/>
    <x v="0"/>
    <x v="2"/>
    <m/>
    <x v="0"/>
    <m/>
    <m/>
  </r>
  <r>
    <x v="16"/>
    <s v="1856610-9"/>
    <s v="Fonasa"/>
    <n v="313"/>
    <s v="No Referidas"/>
    <s v="UCM 223914444 Apoderado Sra Nora Labra Chacano993597953"/>
    <d v="2019-06-17T00:00:00"/>
    <n v="103"/>
    <d v="1923-04-29T00:00:00"/>
    <s v="Demencia"/>
    <x v="32"/>
    <n v="1"/>
    <n v="30"/>
    <x v="0"/>
    <x v="3"/>
    <m/>
    <x v="0"/>
    <m/>
    <m/>
  </r>
  <r>
    <x v="16"/>
    <s v="1856610-9"/>
    <s v="Fonasa"/>
    <n v="313"/>
    <s v="No Referidas"/>
    <s v="UCM 223914444 Apoderado Sra Nora Labra Chacano993597953"/>
    <d v="2019-06-17T00:00:00"/>
    <n v="103"/>
    <d v="1923-04-29T00:00:00"/>
    <s v="Demencia"/>
    <x v="43"/>
    <n v="1"/>
    <n v="30"/>
    <x v="0"/>
    <x v="3"/>
    <m/>
    <x v="0"/>
    <m/>
    <m/>
  </r>
  <r>
    <x v="16"/>
    <s v="1856610-9"/>
    <s v="Fonasa"/>
    <n v="313"/>
    <s v="No Referidas"/>
    <s v="UCM 223914444 Apoderado Sra Nora Labra Chacano993597953"/>
    <d v="2019-06-17T00:00:00"/>
    <n v="103"/>
    <d v="1923-04-29T00:00:00"/>
    <s v="Demencia"/>
    <x v="78"/>
    <n v="0.5"/>
    <n v="15"/>
    <x v="0"/>
    <x v="3"/>
    <m/>
    <x v="0"/>
    <m/>
    <m/>
  </r>
  <r>
    <x v="16"/>
    <s v="1856610-9"/>
    <s v="Fonasa"/>
    <n v="313"/>
    <s v="No Referidas"/>
    <s v="UCM 223914444 Apoderado Sra Nora Labra Chacano993597953"/>
    <d v="2019-06-17T00:00:00"/>
    <n v="103"/>
    <d v="1923-04-29T00:00:00"/>
    <s v="Demencia"/>
    <x v="124"/>
    <n v="1"/>
    <m/>
    <x v="0"/>
    <x v="10"/>
    <s v="Administrar en caso de solor o fiebre"/>
    <x v="2"/>
    <m/>
    <m/>
  </r>
  <r>
    <x v="17"/>
    <s v="4369636-k"/>
    <s v="Fonasa"/>
    <n v="205"/>
    <s v="No Referidas"/>
    <s v="UCM 223914444 Apoderado Don Hector Montes Cornejo 994793497"/>
    <d v="2023-02-24T00:00:00"/>
    <n v="205"/>
    <d v="1934-08-24T00:00:00"/>
    <s v="Demencia vascular(2018) artrosi-gonartrosis-pancreatitis (resuelta)Ulcera gastrica( Resuelta)"/>
    <x v="36"/>
    <n v="1"/>
    <n v="30"/>
    <x v="2"/>
    <x v="2"/>
    <m/>
    <x v="0"/>
    <m/>
    <m/>
  </r>
  <r>
    <x v="17"/>
    <s v="4369636-k"/>
    <s v="Fonasa"/>
    <n v="205"/>
    <s v="No Referidas"/>
    <s v="UCM 223914444 Apoderado Don Hector Montes Cornejo 994793497"/>
    <d v="2023-02-24T00:00:00"/>
    <n v="205"/>
    <d v="1934-08-24T00:00:00"/>
    <s v="Demencia vascular(2018) artrosi-gonartrosis-pancreatitis (resuelta)Ulcera gastrica( Resuelta)"/>
    <x v="36"/>
    <n v="1"/>
    <n v="30"/>
    <x v="2"/>
    <x v="15"/>
    <m/>
    <x v="0"/>
    <m/>
    <m/>
  </r>
  <r>
    <x v="17"/>
    <s v="4369636-k"/>
    <s v="Fonasa"/>
    <n v="205"/>
    <s v="No Referidas"/>
    <s v="UCM 223914444 Apoderado Don Hector Montes Cornejo 994793497"/>
    <d v="2023-02-24T00:00:00"/>
    <n v="205"/>
    <d v="1934-08-24T00:00:00"/>
    <s v="Demencia vascular(2018) artrosi-gonartrosis-pancreatitis (resuelta)Ulcera gastrica( Resuelta)"/>
    <x v="32"/>
    <n v="2"/>
    <n v="60"/>
    <x v="0"/>
    <x v="2"/>
    <m/>
    <x v="0"/>
    <m/>
    <m/>
  </r>
  <r>
    <x v="17"/>
    <s v="4369636-k"/>
    <s v="Fonasa"/>
    <n v="205"/>
    <s v="No Referidas"/>
    <s v="UCM 223914444 Apoderado Don Hector Montes Cornejo 994793497"/>
    <d v="2023-02-24T00:00:00"/>
    <n v="205"/>
    <d v="1934-08-24T00:00:00"/>
    <s v="Demencia vascular(2018) artrosi-gonartrosis-pancreatitis (resuelta)Ulcera gastrica( Resuelta)"/>
    <x v="32"/>
    <n v="2"/>
    <n v="60"/>
    <x v="0"/>
    <x v="3"/>
    <m/>
    <x v="0"/>
    <m/>
    <m/>
  </r>
  <r>
    <x v="17"/>
    <s v="4369636-k"/>
    <s v="Fonasa"/>
    <n v="205"/>
    <s v="No Referidas"/>
    <s v="UCM 223914444 Apoderado Don Hector Montes Cornejo 994793497"/>
    <d v="2023-02-24T00:00:00"/>
    <n v="205"/>
    <d v="1934-08-24T00:00:00"/>
    <s v="Demencia vascular(2018) artrosi-gonartrosis-pancreatitis (resuelta)Ulcera gastrica( Resuelta)"/>
    <x v="1"/>
    <n v="1"/>
    <n v="30"/>
    <x v="1"/>
    <x v="2"/>
    <m/>
    <x v="0"/>
    <m/>
    <m/>
  </r>
  <r>
    <x v="17"/>
    <s v="4369636-k"/>
    <s v="Fonasa"/>
    <n v="205"/>
    <s v="No Referidas"/>
    <s v="UCM 223914444 Apoderado Don Hector Montes Cornejo 994793497"/>
    <d v="2023-02-24T00:00:00"/>
    <n v="205"/>
    <d v="1934-08-24T00:00:00"/>
    <s v="Demencia vascular(2018) artrosi-gonartrosis-pancreatitis (resuelta)Ulcera gastrica( Resuelta)"/>
    <x v="33"/>
    <n v="1"/>
    <n v="30"/>
    <x v="0"/>
    <x v="2"/>
    <m/>
    <x v="0"/>
    <m/>
    <m/>
  </r>
  <r>
    <x v="17"/>
    <s v="4369636-k"/>
    <s v="Fonasa"/>
    <n v="205"/>
    <s v="No Referidas"/>
    <s v="UCM 223914444 Apoderado Don Hector Montes Cornejo 994793497"/>
    <d v="2023-02-24T00:00:00"/>
    <n v="205"/>
    <d v="1934-08-24T00:00:00"/>
    <s v="Demencia vascular(2018) artrosi-gonartrosis-pancreatitis (resuelta)Ulcera gastrica( Resuelta)"/>
    <x v="125"/>
    <n v="1"/>
    <n v="30"/>
    <x v="0"/>
    <x v="2"/>
    <m/>
    <x v="0"/>
    <m/>
    <m/>
  </r>
  <r>
    <x v="17"/>
    <s v="4369636-k"/>
    <s v="Fonasa"/>
    <n v="205"/>
    <s v="No Referidas"/>
    <s v="UCM 223914444 Apoderado Don Hector Montes Cornejo 994793497"/>
    <d v="2023-02-24T00:00:00"/>
    <n v="205"/>
    <d v="1934-08-24T00:00:00"/>
    <s v="Demencia vascular(2018) artrosi-gonartrosis-pancreatitis (resuelta)Ulcera gastrica( Resuelta)"/>
    <x v="87"/>
    <n v="1"/>
    <n v="30"/>
    <x v="0"/>
    <x v="3"/>
    <m/>
    <x v="0"/>
    <m/>
    <m/>
  </r>
  <r>
    <x v="17"/>
    <s v="4369636-k"/>
    <s v="Fonasa"/>
    <n v="205"/>
    <s v="No Referidas"/>
    <s v="UCM 223914444 Apoderado Don Hector Montes Cornejo 994793497"/>
    <d v="2023-02-24T00:00:00"/>
    <n v="205"/>
    <d v="1934-08-24T00:00:00"/>
    <s v="Demencia vascular(2018) artrosi-gonartrosis-pancreatitis (resuelta)Ulcera gastrica( Resuelta)"/>
    <x v="11"/>
    <n v="1.5"/>
    <n v="45"/>
    <x v="0"/>
    <x v="3"/>
    <m/>
    <x v="0"/>
    <m/>
    <m/>
  </r>
  <r>
    <x v="17"/>
    <s v="4369636-k"/>
    <s v="Fonasa"/>
    <n v="205"/>
    <s v="No Referidas"/>
    <s v="UCM 223914444 Apoderado Don Hector Montes Cornejo 994793497"/>
    <d v="2023-02-24T00:00:00"/>
    <n v="205"/>
    <d v="1934-08-24T00:00:00"/>
    <s v="Demencia vascular(2018) artrosi-gonartrosis-pancreatitis (resuelta)Ulcera gastrica( Resuelta)"/>
    <x v="32"/>
    <n v="1"/>
    <m/>
    <x v="0"/>
    <x v="10"/>
    <s v="administrar en caso de dolor y/o fiebre"/>
    <x v="2"/>
    <m/>
    <m/>
  </r>
  <r>
    <x v="18"/>
    <s v="4546776-7"/>
    <s v="Fonasa"/>
    <n v="107"/>
    <s v="No Referidas"/>
    <s v="UCM Apoderado Don Gonzalo Molina 994190509"/>
    <d v="2022-10-06T00:00:00"/>
    <n v="86"/>
    <d v="1940-04-19T00:00:00"/>
    <s v="Cardiopatia coronaria 2019,insuficiencia mitral moderada hta pulmonar,TAVI (implantacion de valvula aortica transcateter) 2019con insuficiencia paravalvularmoderada,diseccion aortica abdominal-Stent coronario derecho ,FA,adenocarcinoma de colon operadoen 2023.colectomia derecha 2023."/>
    <x v="1"/>
    <n v="1"/>
    <n v="30"/>
    <x v="0"/>
    <x v="0"/>
    <m/>
    <x v="0"/>
    <m/>
    <m/>
  </r>
  <r>
    <x v="18"/>
    <s v="4546776-7"/>
    <s v="Fonasa"/>
    <n v="107"/>
    <s v="No Referidas"/>
    <s v="UCM Apoderado Don Gonzalo Molina 994190509"/>
    <d v="2022-10-06T00:00:00"/>
    <n v="86"/>
    <d v="1940-04-19T00:00:00"/>
    <s v="Cardiopatia coronaria 2019,insuficiencia mitral moderada hta pulmonar,TAVI (implantacion de valvula aortica transcateter) 2019con insuficiencia paravalvularmoderada,diseccion aortica abdominal-Stent coronario derecho ,FA,adenocarcinoma de colon operadoen 2023.colectomia derecha 2023."/>
    <x v="36"/>
    <n v="1"/>
    <n v="30"/>
    <x v="2"/>
    <x v="2"/>
    <s v="sabor frutilla "/>
    <x v="0"/>
    <m/>
    <m/>
  </r>
  <r>
    <x v="18"/>
    <s v="4546776-7"/>
    <s v="Fonasa"/>
    <n v="107"/>
    <s v="No Referidas"/>
    <s v="UCM Apoderado Don Gonzalo Molina 994190509"/>
    <d v="2022-10-06T00:00:00"/>
    <n v="86"/>
    <d v="1940-04-19T00:00:00"/>
    <s v="Cardiopatia coronaria 2019,insuficiencia mitral moderada hta pulmonar,TAVI (implantacion de valvula aortica transcateter) 2019con insuficiencia paravalvularmoderada,diseccion aortica abdominal-Stent coronario derecho ,FA,adenocarcinoma de colon operadoen 2023.colectomia derecha 2023."/>
    <x v="36"/>
    <n v="1"/>
    <n v="30"/>
    <x v="2"/>
    <x v="15"/>
    <s v="sabor frutilla "/>
    <x v="0"/>
    <m/>
    <m/>
  </r>
  <r>
    <x v="18"/>
    <s v="4546776-7"/>
    <s v="Fonasa"/>
    <n v="107"/>
    <s v="No Referidas"/>
    <s v="UCM Apoderado Don Gonzalo Molina 994190509"/>
    <d v="2022-10-06T00:00:00"/>
    <n v="86"/>
    <d v="1940-04-19T00:00:00"/>
    <s v="Cardiopatia coronaria 2019,insuficiencia mitral moderada hta pulmonar,TAVI (implantacion de valvula aortica transcateter) 2019con insuficiencia paravalvularmoderada,diseccion aortica abdominal-Stent coronario derecho ,FA,adenocarcinoma de colon operadoen 2023.colectomia derecha 2023."/>
    <x v="126"/>
    <n v="0.5"/>
    <n v="15"/>
    <x v="0"/>
    <x v="2"/>
    <m/>
    <x v="0"/>
    <m/>
    <m/>
  </r>
  <r>
    <x v="18"/>
    <s v="4546776-7"/>
    <s v="Fonasa"/>
    <n v="107"/>
    <s v="No Referidas"/>
    <s v="UCM Apoderado Don Gonzalo Molina 994190509"/>
    <d v="2022-10-06T00:00:00"/>
    <n v="86"/>
    <d v="1940-04-19T00:00:00"/>
    <s v="Cardiopatia coronaria 2019,insuficiencia mitral moderada hta pulmonar,TAVI (implantacion de valvula aortica transcateter) 2019con insuficiencia paravalvularmoderada,diseccion aortica abdominal-Stent coronario derecho ,FA,adenocarcinoma de colon operadoen 2023.colectomia derecha 2023."/>
    <x v="127"/>
    <n v="0.5"/>
    <n v="15"/>
    <x v="0"/>
    <x v="2"/>
    <m/>
    <x v="0"/>
    <m/>
    <m/>
  </r>
  <r>
    <x v="18"/>
    <s v="4546776-7"/>
    <s v="Fonasa"/>
    <n v="107"/>
    <s v="No Referidas"/>
    <s v="UCM Apoderado Don Gonzalo Molina 994190509"/>
    <d v="2022-10-06T00:00:00"/>
    <n v="86"/>
    <d v="1940-04-19T00:00:00"/>
    <s v="Cardiopatia coronaria 2019,insuficiencia mitral moderada hta pulmonar,TAVI (implantacion de valvula aortica transcateter) 2019con insuficiencia paravalvularmoderada,diseccion aortica abdominal-Stent coronario derecho ,FA,adenocarcinoma de colon operadoen 2023.colectomia derecha 2023."/>
    <x v="128"/>
    <n v="1"/>
    <n v="30"/>
    <x v="0"/>
    <x v="2"/>
    <s v="190 mg 1 capsula"/>
    <x v="0"/>
    <m/>
    <m/>
  </r>
  <r>
    <x v="18"/>
    <s v="4546776-7"/>
    <s v="Fonasa"/>
    <n v="107"/>
    <s v="No Referidas"/>
    <s v="UCM Apoderado Don Gonzalo Molina 994190509"/>
    <d v="2022-10-06T00:00:00"/>
    <n v="86"/>
    <d v="1940-04-19T00:00:00"/>
    <s v="Cardiopatia coronaria 2019,insuficiencia mitral moderada hta pulmonar,TAVI (implantacion de valvula aortica transcateter) 2019con insuficiencia paravalvularmoderada,diseccion aortica abdominal-Stent coronario derecho ,FA,adenocarcinoma de colon operadoen 2023.colectomia derecha 2023."/>
    <x v="129"/>
    <n v="1"/>
    <n v="30"/>
    <x v="0"/>
    <x v="2"/>
    <m/>
    <x v="0"/>
    <m/>
    <m/>
  </r>
  <r>
    <x v="18"/>
    <s v="4546776-7"/>
    <s v="Fonasa"/>
    <n v="107"/>
    <s v="No Referidas"/>
    <s v="UCM Apoderado Don Gonzalo Molina 994190509"/>
    <d v="2022-10-06T00:00:00"/>
    <n v="86"/>
    <d v="1940-04-19T00:00:00"/>
    <s v="Cardiopatia coronaria 2019,insuficiencia mitral moderada hta pulmonar,TAVI (implantacion de valvula aortica transcateter) 2019con insuficiencia paravalvularmoderada,diseccion aortica abdominal-Stent coronario derecho ,FA,adenocarcinoma de colon operadoen 2023.colectomia derecha 2023."/>
    <x v="130"/>
    <n v="0.5"/>
    <n v="15"/>
    <x v="0"/>
    <x v="7"/>
    <m/>
    <x v="0"/>
    <m/>
    <m/>
  </r>
  <r>
    <x v="18"/>
    <s v="4546776-7"/>
    <s v="Fonasa"/>
    <n v="107"/>
    <s v="No Referidas"/>
    <s v="UCM Apoderado Don Gonzalo Molina 994190509"/>
    <d v="2022-10-06T00:00:00"/>
    <n v="86"/>
    <d v="1940-04-19T00:00:00"/>
    <s v="Cardiopatia coronaria 2019,insuficiencia mitral moderada hta pulmonar,TAVI (implantacion de valvula aortica transcateter) 2019con insuficiencia paravalvularmoderada,diseccion aortica abdominal-Stent coronario derecho ,FA,adenocarcinoma de colon operadoen 2023.colectomia derecha 2023."/>
    <x v="131"/>
    <n v="1"/>
    <n v="30"/>
    <x v="0"/>
    <x v="3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132"/>
    <n v="0.5"/>
    <n v="15"/>
    <x v="0"/>
    <x v="0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132"/>
    <n v="0.5"/>
    <n v="15"/>
    <x v="0"/>
    <x v="1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132"/>
    <n v="0.5"/>
    <n v="15"/>
    <x v="0"/>
    <x v="3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56"/>
    <n v="0.5"/>
    <n v="15"/>
    <x v="0"/>
    <x v="2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56"/>
    <n v="0.5"/>
    <n v="15"/>
    <x v="0"/>
    <x v="3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43"/>
    <n v="1"/>
    <n v="30"/>
    <x v="0"/>
    <x v="2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11"/>
    <n v="0.25"/>
    <n v="7.5"/>
    <x v="0"/>
    <x v="2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133"/>
    <n v="1"/>
    <n v="30"/>
    <x v="0"/>
    <x v="2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87"/>
    <n v="3"/>
    <n v="90"/>
    <x v="0"/>
    <x v="11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23"/>
    <n v="0.5"/>
    <n v="15"/>
    <x v="0"/>
    <x v="3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11"/>
    <n v="1.5"/>
    <n v="45"/>
    <x v="0"/>
    <x v="3"/>
    <m/>
    <x v="0"/>
    <m/>
    <m/>
  </r>
  <r>
    <x v="19"/>
    <s v="4591700-2"/>
    <s v="IPS"/>
    <n v="302"/>
    <s v="No Referidas"/>
    <s v="HELP 800800911 Apoderado Don Gustavo Cubillos 948511367"/>
    <d v="2022-07-07T00:00:00"/>
    <n v="83"/>
    <d v="1943-01-02T00:00:00"/>
    <s v="HTA."/>
    <x v="11"/>
    <n v="1"/>
    <m/>
    <x v="0"/>
    <x v="10"/>
    <s v="Administrar en caso de irritabilidad agresividad y/o desajuste conductual"/>
    <x v="2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1"/>
    <n v="1"/>
    <n v="30"/>
    <x v="1"/>
    <x v="0"/>
    <m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32"/>
    <n v="2"/>
    <n v="60"/>
    <x v="0"/>
    <x v="2"/>
    <m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32"/>
    <n v="2"/>
    <n v="60"/>
    <x v="0"/>
    <x v="1"/>
    <m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32"/>
    <n v="2"/>
    <n v="60"/>
    <x v="0"/>
    <x v="3"/>
    <m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134"/>
    <n v="1"/>
    <n v="30"/>
    <x v="0"/>
    <x v="2"/>
    <s v="Administrar los dias martes y jueves de la 2° y 4° semana de cada mes "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134"/>
    <n v="1"/>
    <n v="30"/>
    <x v="0"/>
    <x v="3"/>
    <s v="Administrar los dias martes y jueves de la 2° y 4° semana de cada mes "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135"/>
    <n v="1"/>
    <n v="30"/>
    <x v="0"/>
    <x v="2"/>
    <m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31"/>
    <n v="1"/>
    <n v="30"/>
    <x v="3"/>
    <x v="2"/>
    <m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36"/>
    <n v="1"/>
    <n v="30"/>
    <x v="2"/>
    <x v="2"/>
    <m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119"/>
    <n v="1"/>
    <n v="30"/>
    <x v="0"/>
    <x v="3"/>
    <m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87"/>
    <n v="2"/>
    <n v="60"/>
    <x v="0"/>
    <x v="3"/>
    <m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30"/>
    <n v="1"/>
    <n v="30"/>
    <x v="0"/>
    <x v="3"/>
    <m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11"/>
    <n v="2"/>
    <n v="60"/>
    <x v="0"/>
    <x v="3"/>
    <m/>
    <x v="0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136"/>
    <n v="1"/>
    <m/>
    <x v="5"/>
    <x v="2"/>
    <s v="solo dia jueves "/>
    <x v="1"/>
    <d v="2026-04-08T00:00:00"/>
    <d v="2026-07-06T00:00:00"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56"/>
    <n v="0.5"/>
    <m/>
    <x v="0"/>
    <x v="3"/>
    <m/>
    <x v="1"/>
    <d v="2026-06-10T00:00:00"/>
    <d v="2026-07-09T00:00:00"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137"/>
    <n v="1"/>
    <m/>
    <x v="1"/>
    <x v="0"/>
    <m/>
    <x v="2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137"/>
    <n v="1"/>
    <m/>
    <x v="1"/>
    <x v="1"/>
    <m/>
    <x v="2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137"/>
    <n v="1"/>
    <m/>
    <x v="1"/>
    <x v="3"/>
    <m/>
    <x v="2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97"/>
    <n v="40"/>
    <m/>
    <x v="3"/>
    <x v="0"/>
    <m/>
    <x v="2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97"/>
    <n v="40"/>
    <m/>
    <x v="3"/>
    <x v="1"/>
    <m/>
    <x v="2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97"/>
    <n v="40"/>
    <m/>
    <x v="3"/>
    <x v="3"/>
    <m/>
    <x v="2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138"/>
    <n v="1"/>
    <m/>
    <x v="0"/>
    <x v="10"/>
    <s v="En caso de nauseas y vomito"/>
    <x v="2"/>
    <m/>
    <m/>
  </r>
  <r>
    <x v="20"/>
    <s v="2316450-7"/>
    <s v="Fonasa"/>
    <n v="315"/>
    <s v="No Referidas"/>
    <s v="UCM 223914444 Apoderada Miriam Diaz  994492933"/>
    <d v="2024-07-17T00:00:00"/>
    <n v="93"/>
    <d v="1932-08-14T00:00:00"/>
    <s v="HPB, Demencia, FX de cadera bilateral antigua Colecistectomia, obstruccion intestinal, ITU repeticion."/>
    <x v="37"/>
    <n v="1"/>
    <m/>
    <x v="5"/>
    <x v="10"/>
    <s v="En caso de estreñimiento"/>
    <x v="2"/>
    <m/>
    <m/>
  </r>
  <r>
    <x v="21"/>
    <s v="6892749-8"/>
    <s v="Fonasa"/>
    <n v="202"/>
    <s v="No Referidas"/>
    <s v="UCM 223914444 Apoderado Don Jhon Martinez Diaz 999876937"/>
    <d v="2023-09-04T00:00:00"/>
    <n v="72"/>
    <d v="1953-10-03T00:00:00"/>
    <s v="Diabetes mellitus tipo 2 NIR -HTA- Asma- Aneurisma roto pot mav ,Operada 2014 Secuelada Hemiparesia Braquio -crucalderecha y disfasia."/>
    <x v="139"/>
    <n v="2"/>
    <n v="60"/>
    <x v="14"/>
    <x v="2"/>
    <m/>
    <x v="0"/>
    <m/>
    <m/>
  </r>
  <r>
    <x v="21"/>
    <s v="6892749-8"/>
    <s v="Fonasa"/>
    <n v="202"/>
    <s v="No Referidas"/>
    <s v="UCM 223914444 Apoderado Don Jhon Martinez Diaz 999876937"/>
    <d v="2023-09-04T00:00:00"/>
    <n v="72"/>
    <d v="1953-10-03T00:00:00"/>
    <s v="Diabetes mellitus tipo 2 NIR -HTA- Asma- Aneurisma roto pot mav ,Operada 2014 Secuelada Hemiparesia Braquio -crucalderecha y disfasia."/>
    <x v="140"/>
    <n v="2"/>
    <n v="60"/>
    <x v="14"/>
    <x v="3"/>
    <m/>
    <x v="0"/>
    <m/>
    <m/>
  </r>
  <r>
    <x v="21"/>
    <s v="6892749-8"/>
    <s v="Fonasa"/>
    <n v="202"/>
    <s v="No Referidas"/>
    <s v="UCM 223914444 Apoderado Don Jhon Martinez Diaz 999876937"/>
    <d v="2023-09-04T00:00:00"/>
    <n v="72"/>
    <d v="1953-10-03T00:00:00"/>
    <s v="Diabetes mellitus tipo 2 NIR -HTA- Asma- Aneurisma roto pot mav ,Operada 2014 Secuelada Hemiparesia Braquio -crucalderecha y disfasia."/>
    <x v="35"/>
    <n v="1"/>
    <n v="30"/>
    <x v="0"/>
    <x v="2"/>
    <m/>
    <x v="0"/>
    <m/>
    <m/>
  </r>
  <r>
    <x v="21"/>
    <s v="6892749-8"/>
    <s v="Fonasa"/>
    <n v="202"/>
    <s v="No Referidas"/>
    <s v="UCM 223914444 Apoderado Don Jhon Martinez Diaz 999876937"/>
    <d v="2023-09-04T00:00:00"/>
    <n v="72"/>
    <d v="1953-10-03T00:00:00"/>
    <s v="Diabetes mellitus tipo 2 NIR -HTA- Asma- Aneurisma roto pot mav ,Operada 2014 Secuelada Hemiparesia Braquio -crucalderecha y disfasia."/>
    <x v="1"/>
    <n v="1"/>
    <n v="30"/>
    <x v="0"/>
    <x v="2"/>
    <m/>
    <x v="0"/>
    <m/>
    <m/>
  </r>
  <r>
    <x v="21"/>
    <s v="6892749-8"/>
    <s v="Fonasa"/>
    <n v="202"/>
    <s v="No Referidas"/>
    <s v="UCM 223914444 Apoderado Don Jhon Martinez Diaz 999876937"/>
    <d v="2023-09-04T00:00:00"/>
    <n v="72"/>
    <d v="1953-10-03T00:00:00"/>
    <s v="Diabetes mellitus tipo 2 NIR -HTA- Asma- Aneurisma roto pot mav ,Operada 2014 Secuelada Hemiparesia Braquio -crucalderecha y disfasia."/>
    <x v="33"/>
    <n v="0.5"/>
    <n v="15"/>
    <x v="0"/>
    <x v="2"/>
    <m/>
    <x v="0"/>
    <m/>
    <m/>
  </r>
  <r>
    <x v="21"/>
    <s v="6892749-8"/>
    <s v="Fonasa"/>
    <n v="202"/>
    <s v="No Referidas"/>
    <s v="UCM 223914444 Apoderado Don Jhon Martinez Diaz 999876937"/>
    <d v="2023-09-04T00:00:00"/>
    <n v="72"/>
    <d v="1953-10-03T00:00:00"/>
    <s v="Diabetes mellitus tipo 2 NIR -HTA- Asma- Aneurisma roto pot mav ,Operada 2014 Secuelada Hemiparesia Braquio -crucalderecha y disfasia."/>
    <x v="59"/>
    <n v="1"/>
    <n v="30"/>
    <x v="0"/>
    <x v="14"/>
    <m/>
    <x v="0"/>
    <m/>
    <m/>
  </r>
  <r>
    <x v="21"/>
    <s v="6892749-8"/>
    <s v="Fonasa"/>
    <n v="202"/>
    <s v="No Referidas"/>
    <s v="UCM 223914444 Apoderado Don Jhon Martinez Diaz 999876937"/>
    <d v="2023-09-04T00:00:00"/>
    <n v="72"/>
    <d v="1953-10-03T00:00:00"/>
    <s v="Diabetes mellitus tipo 2 NIR -HTA- Asma- Aneurisma roto pot mav ,Operada 2014 Secuelada Hemiparesia Braquio -crucalderecha y disfasia."/>
    <x v="63"/>
    <n v="1"/>
    <n v="30"/>
    <x v="0"/>
    <x v="3"/>
    <m/>
    <x v="0"/>
    <m/>
    <m/>
  </r>
  <r>
    <x v="21"/>
    <s v="6892749-8"/>
    <s v="Fonasa"/>
    <n v="202"/>
    <s v="No Referidas"/>
    <s v="UCM 223914444 Apoderado Don Jhon Martinez Diaz 999876937"/>
    <d v="2023-09-04T00:00:00"/>
    <n v="72"/>
    <d v="1953-10-03T00:00:00"/>
    <s v="Diabetes mellitus tipo 2 NIR -HTA- Asma- Aneurisma roto pot mav ,Operada 2014 Secuelada Hemiparesia Braquio -crucalderecha y disfasia."/>
    <x v="35"/>
    <n v="0.5"/>
    <n v="15"/>
    <x v="0"/>
    <x v="3"/>
    <m/>
    <x v="0"/>
    <m/>
    <m/>
  </r>
  <r>
    <x v="21"/>
    <s v="6892749-8"/>
    <s v="Fonasa"/>
    <n v="202"/>
    <s v="No Referidas"/>
    <s v="UCM 223914444 Apoderado Don Jhon Martinez Diaz 999876937"/>
    <d v="2023-09-04T00:00:00"/>
    <n v="72"/>
    <d v="1953-10-03T00:00:00"/>
    <s v="Diabetes mellitus tipo 2 NIR -HTA- Asma- Aneurisma roto pot mav ,Operada 2014 Secuelada Hemiparesia Braquio -crucalderecha y disfasia."/>
    <x v="141"/>
    <n v="2"/>
    <m/>
    <x v="14"/>
    <x v="10"/>
    <s v="Administrar en caso de apremio respiratorio, Adm con aerocamara"/>
    <x v="2"/>
    <m/>
    <m/>
  </r>
  <r>
    <x v="22"/>
    <s v="12490154-5"/>
    <s v="Fonasa"/>
    <n v="215"/>
    <s v="No Referidas"/>
    <s v="ACHS"/>
    <d v="2025-09-09T00:00:00"/>
    <n v="53"/>
    <d v="1972-06-22T00:00:00"/>
    <s v="Secuelado post Tec 1994, deterioro cognitivo severo post Tec, epilepsia post tec"/>
    <x v="10"/>
    <n v="1"/>
    <n v="30"/>
    <x v="0"/>
    <x v="2"/>
    <m/>
    <x v="0"/>
    <m/>
    <m/>
  </r>
  <r>
    <x v="22"/>
    <s v="12490154-5"/>
    <s v="Fonasa"/>
    <n v="215"/>
    <s v="No Referidas"/>
    <s v="ACHS"/>
    <d v="2025-09-09T00:00:00"/>
    <n v="53"/>
    <d v="1972-06-22T00:00:00"/>
    <s v="Secuelado post Tec 1994, deterioro cognitivo severo post Tec, epilepsia post tec"/>
    <x v="10"/>
    <n v="1"/>
    <n v="30"/>
    <x v="0"/>
    <x v="3"/>
    <m/>
    <x v="0"/>
    <m/>
    <m/>
  </r>
  <r>
    <x v="22"/>
    <s v="12490154-5"/>
    <s v="Fonasa"/>
    <n v="215"/>
    <s v="No Referidas"/>
    <s v="ACHS"/>
    <d v="2025-09-09T00:00:00"/>
    <n v="53"/>
    <d v="1972-06-22T00:00:00"/>
    <s v="Secuelado post Tec 1994, deterioro cognitivo severo post Tec, epilepsia post tec"/>
    <x v="142"/>
    <n v="1"/>
    <n v="30"/>
    <x v="0"/>
    <x v="3"/>
    <m/>
    <x v="0"/>
    <m/>
    <m/>
  </r>
  <r>
    <x v="22"/>
    <s v="12490154-5"/>
    <s v="Fonasa"/>
    <n v="215"/>
    <s v="No Referidas"/>
    <s v="ACHS"/>
    <d v="2025-09-09T00:00:00"/>
    <n v="53"/>
    <d v="1972-06-22T00:00:00"/>
    <s v="Secuelado post Tec 1994, deterioro cognitivo severo post Tec, epilepsia post tec"/>
    <x v="87"/>
    <n v="2"/>
    <n v="60"/>
    <x v="0"/>
    <x v="3"/>
    <m/>
    <x v="0"/>
    <m/>
    <m/>
  </r>
  <r>
    <x v="22"/>
    <s v="12490154-5"/>
    <s v="Fonasa"/>
    <n v="215"/>
    <s v="No Referidas"/>
    <s v="ACHS"/>
    <d v="2025-09-09T00:00:00"/>
    <n v="53"/>
    <d v="1972-06-22T00:00:00"/>
    <s v="Secuelado post Tec 1994, deterioro cognitivo severo post Tec, epilepsia post tec"/>
    <x v="25"/>
    <n v="11"/>
    <n v="330"/>
    <x v="3"/>
    <x v="3"/>
    <m/>
    <x v="0"/>
    <m/>
    <m/>
  </r>
  <r>
    <x v="22"/>
    <s v="12490154-5"/>
    <s v="Fonasa"/>
    <n v="215"/>
    <s v="No Referidas"/>
    <s v="ACHS"/>
    <d v="2025-09-09T00:00:00"/>
    <n v="53"/>
    <d v="1972-06-22T00:00:00"/>
    <s v="Secuelado post Tec 1994, deterioro cognitivo severo post Tec, epilepsia post tec"/>
    <x v="39"/>
    <n v="2"/>
    <n v="60"/>
    <x v="0"/>
    <x v="3"/>
    <m/>
    <x v="0"/>
    <m/>
    <m/>
  </r>
  <r>
    <x v="22"/>
    <s v="12490154-5"/>
    <s v="Fonasa"/>
    <n v="215"/>
    <s v="No Referidas"/>
    <s v="ACHS"/>
    <d v="2025-09-09T00:00:00"/>
    <n v="53"/>
    <d v="1972-06-22T00:00:00"/>
    <s v="Secuelado post Tec 1994, deterioro cognitivo severo post Tec, epilepsia post tec"/>
    <x v="25"/>
    <n v="11"/>
    <m/>
    <x v="3"/>
    <x v="10"/>
    <s v="Administrar en caso de agitacion y/o irritabilidad"/>
    <x v="2"/>
    <m/>
    <m/>
  </r>
  <r>
    <x v="23"/>
    <s v="2697581-6"/>
    <s v="Fonasa"/>
    <n v="316"/>
    <s v="Amoxicilina"/>
    <s v="UCM 223914444, Apoderado Alex Pizarro Olivares +56962552515"/>
    <d v="2023-09-07T00:00:00"/>
    <n v="95"/>
    <d v="1930-10-04T00:00:00"/>
    <s v="Desprendimiento Uterino- RI - Deterioro cognitivo moderado - Hipotiroidismo descompensado en tto - Constirpacion - Demencia tipo Alzheimer"/>
    <x v="143"/>
    <n v="1"/>
    <n v="30"/>
    <x v="0"/>
    <x v="0"/>
    <m/>
    <x v="0"/>
    <m/>
    <m/>
  </r>
  <r>
    <x v="23"/>
    <s v="2697581-6"/>
    <s v="Fonasa"/>
    <n v="316"/>
    <s v="Amoxicilina"/>
    <s v="UCM 223914444, Apoderado Alex Pizarro Olivares +56962552515"/>
    <d v="2023-09-07T00:00:00"/>
    <n v="95"/>
    <d v="1930-10-04T00:00:00"/>
    <s v="Desprendimiento Uterino- RI - Deterioro cognitivo moderado - Hipotiroidismo descompensado en tto - Constirpacion - Demencia tipo Alzheimer"/>
    <x v="58"/>
    <n v="1"/>
    <n v="30"/>
    <x v="0"/>
    <x v="2"/>
    <m/>
    <x v="0"/>
    <m/>
    <m/>
  </r>
  <r>
    <x v="23"/>
    <s v="2697581-6"/>
    <s v="Fonasa"/>
    <n v="316"/>
    <s v="Amoxicilina"/>
    <s v="UCM 223914444, Apoderado Alex Pizarro Olivares +56962552515"/>
    <d v="2023-09-07T00:00:00"/>
    <n v="95"/>
    <d v="1930-10-04T00:00:00"/>
    <s v="Desprendimiento Uterino- RI - Deterioro cognitivo moderado - Hipotiroidismo descompensado en tto - Constirpacion - Demencia tipo Alzheimer"/>
    <x v="144"/>
    <n v="1"/>
    <n v="30"/>
    <x v="0"/>
    <x v="2"/>
    <m/>
    <x v="0"/>
    <m/>
    <m/>
  </r>
  <r>
    <x v="23"/>
    <s v="2697581-6"/>
    <s v="Fonasa"/>
    <n v="316"/>
    <s v="Amoxicilina"/>
    <s v="UCM 223914444, Apoderado Alex Pizarro Olivares +56962552515"/>
    <d v="2023-09-07T00:00:00"/>
    <n v="95"/>
    <d v="1930-10-04T00:00:00"/>
    <s v="Desprendimiento Uterino- RI - Deterioro cognitivo moderado - Hipotiroidismo descompensado en tto - Constirpacion - Demencia tipo Alzheimer"/>
    <x v="145"/>
    <n v="1"/>
    <n v="30"/>
    <x v="2"/>
    <x v="2"/>
    <m/>
    <x v="0"/>
    <m/>
    <m/>
  </r>
  <r>
    <x v="23"/>
    <s v="2697581-6"/>
    <s v="Fonasa"/>
    <n v="316"/>
    <s v="Amoxicilina"/>
    <s v="UCM 223914444, Apoderado Alex Pizarro Olivares +56962552515"/>
    <d v="2023-09-07T00:00:00"/>
    <n v="95"/>
    <d v="1930-10-04T00:00:00"/>
    <s v="Desprendimiento Uterino- RI - Deterioro cognitivo moderado - Hipotiroidismo descompensado en tto - Constirpacion - Demencia tipo Alzheimer"/>
    <x v="37"/>
    <n v="1"/>
    <n v="30"/>
    <x v="5"/>
    <x v="2"/>
    <m/>
    <x v="0"/>
    <m/>
    <m/>
  </r>
  <r>
    <x v="23"/>
    <s v="2697581-6"/>
    <s v="Fonasa"/>
    <n v="316"/>
    <s v="Amoxicilina"/>
    <s v="UCM 223914444, Apoderado Alex Pizarro Olivares +56962552515"/>
    <d v="2023-09-07T00:00:00"/>
    <n v="95"/>
    <d v="1930-10-04T00:00:00"/>
    <s v="Desprendimiento Uterino- RI - Deterioro cognitivo moderado - Hipotiroidismo descompensado en tto - Constirpacion - Demencia tipo Alzheimer"/>
    <x v="146"/>
    <n v="1"/>
    <n v="30"/>
    <x v="1"/>
    <x v="3"/>
    <m/>
    <x v="0"/>
    <m/>
    <m/>
  </r>
  <r>
    <x v="23"/>
    <s v="2697581-6"/>
    <s v="Fonasa"/>
    <n v="316"/>
    <s v="Amoxicilina"/>
    <s v="UCM 223914444, Apoderado Alex Pizarro Olivares +56962552515"/>
    <d v="2023-09-07T00:00:00"/>
    <n v="95"/>
    <d v="1930-10-04T00:00:00"/>
    <s v="Desprendimiento Uterino- RI - Deterioro cognitivo moderado - Hipotiroidismo descompensado en tto - Constirpacion - Demencia tipo Alzheimer"/>
    <x v="147"/>
    <n v="1"/>
    <n v="30"/>
    <x v="2"/>
    <x v="3"/>
    <m/>
    <x v="0"/>
    <m/>
    <m/>
  </r>
  <r>
    <x v="23"/>
    <s v="2697581-6"/>
    <s v="Fonasa"/>
    <n v="316"/>
    <s v="Amoxicilina"/>
    <s v="UCM 223914444, Apoderado Alex Pizarro Olivares +56962552515"/>
    <d v="2023-09-07T00:00:00"/>
    <n v="95"/>
    <d v="1930-10-04T00:00:00"/>
    <s v="Desprendimiento Uterino- RI - Deterioro cognitivo moderado - Hipotiroidismo descompensado en tto - Constirpacion - Demencia tipo Alzheimer"/>
    <x v="148"/>
    <n v="1"/>
    <m/>
    <x v="1"/>
    <x v="2"/>
    <m/>
    <x v="1"/>
    <d v="2026-06-10T00:00:00"/>
    <d v="2026-06-16T00:00:00"/>
  </r>
  <r>
    <x v="23"/>
    <s v="2697581-6"/>
    <s v="Fonasa"/>
    <n v="316"/>
    <s v="Amoxicilina"/>
    <s v="UCM 223914444, Apoderado Alex Pizarro Olivares +56962552515"/>
    <d v="2023-09-07T00:00:00"/>
    <n v="95"/>
    <d v="1930-10-04T00:00:00"/>
    <s v="Desprendimiento Uterino- RI - Deterioro cognitivo moderado - Hipotiroidismo descompensado en tto - Constirpacion - Demencia tipo Alzheimer"/>
    <x v="148"/>
    <n v="1"/>
    <m/>
    <x v="1"/>
    <x v="3"/>
    <m/>
    <x v="1"/>
    <d v="2026-06-10T00:00:00"/>
    <d v="2026-06-16T00:00:00"/>
  </r>
  <r>
    <x v="24"/>
    <s v="4280922-5"/>
    <s v="Fonasa"/>
    <n v="215"/>
    <s v="No Referidas"/>
    <s v="UCM 223914444, Apoderado Maria Jose Duarte Ureta +56944350939"/>
    <d v="2023-09-27T00:00:00"/>
    <n v="85"/>
    <d v="1941-06-02T00:00:00"/>
    <s v="HTA, Deterioro cognitivo Severo"/>
    <x v="122"/>
    <n v="1"/>
    <n v="30"/>
    <x v="0"/>
    <x v="0"/>
    <m/>
    <x v="0"/>
    <m/>
    <m/>
  </r>
  <r>
    <x v="24"/>
    <s v="4280922-5"/>
    <s v="Fonasa"/>
    <n v="215"/>
    <s v="No Referidas"/>
    <s v="UCM 223914444, Apoderado Maria Jose Duarte Ureta +56944350939"/>
    <d v="2023-09-27T00:00:00"/>
    <n v="85"/>
    <d v="1941-06-02T00:00:00"/>
    <s v="HTA, Deterioro cognitivo Severo"/>
    <x v="149"/>
    <n v="1"/>
    <n v="30"/>
    <x v="0"/>
    <x v="2"/>
    <m/>
    <x v="0"/>
    <m/>
    <m/>
  </r>
  <r>
    <x v="24"/>
    <s v="4280922-5"/>
    <s v="Fonasa"/>
    <n v="215"/>
    <s v="No Referidas"/>
    <s v="UCM 223914444, Apoderado Maria Jose Duarte Ureta +56944350939"/>
    <d v="2023-09-27T00:00:00"/>
    <n v="85"/>
    <d v="1941-06-02T00:00:00"/>
    <s v="HTA, Deterioro cognitivo Severo"/>
    <x v="14"/>
    <n v="1"/>
    <n v="30"/>
    <x v="0"/>
    <x v="2"/>
    <m/>
    <x v="0"/>
    <m/>
    <m/>
  </r>
  <r>
    <x v="24"/>
    <s v="4280922-5"/>
    <s v="Fonasa"/>
    <n v="215"/>
    <s v="No Referidas"/>
    <s v="UCM 223914444, Apoderado Maria Jose Duarte Ureta +56944350939"/>
    <d v="2023-09-27T00:00:00"/>
    <n v="85"/>
    <d v="1941-06-02T00:00:00"/>
    <s v="HTA, Deterioro cognitivo Severo"/>
    <x v="33"/>
    <n v="1"/>
    <n v="30"/>
    <x v="0"/>
    <x v="2"/>
    <s v="08 de Julio evaluar continuidad"/>
    <x v="0"/>
    <m/>
    <m/>
  </r>
  <r>
    <x v="24"/>
    <s v="4280922-5"/>
    <s v="Fonasa"/>
    <n v="215"/>
    <s v="No Referidas"/>
    <s v="UCM 223914444, Apoderado Maria Jose Duarte Ureta +56944350939"/>
    <d v="2023-09-27T00:00:00"/>
    <n v="85"/>
    <d v="1941-06-02T00:00:00"/>
    <s v="HTA, Deterioro cognitivo Severo"/>
    <x v="145"/>
    <n v="1"/>
    <n v="30"/>
    <x v="2"/>
    <x v="2"/>
    <m/>
    <x v="0"/>
    <m/>
    <m/>
  </r>
  <r>
    <x v="24"/>
    <s v="4280922-5"/>
    <s v="Fonasa"/>
    <n v="215"/>
    <s v="No Referidas"/>
    <s v="UCM 223914444, Apoderado Maria Jose Duarte Ureta +56944350939"/>
    <d v="2023-09-27T00:00:00"/>
    <n v="85"/>
    <d v="1941-06-02T00:00:00"/>
    <s v="HTA, Deterioro cognitivo Severo"/>
    <x v="37"/>
    <n v="1"/>
    <n v="30"/>
    <x v="5"/>
    <x v="2"/>
    <m/>
    <x v="0"/>
    <m/>
    <m/>
  </r>
  <r>
    <x v="24"/>
    <s v="4280922-5"/>
    <s v="Fonasa"/>
    <n v="215"/>
    <s v="No Referidas"/>
    <s v="UCM 223914444, Apoderado Maria Jose Duarte Ureta +56944350939"/>
    <d v="2023-09-27T00:00:00"/>
    <n v="85"/>
    <d v="1941-06-02T00:00:00"/>
    <s v="HTA, Deterioro cognitivo Severo"/>
    <x v="11"/>
    <n v="1"/>
    <n v="30"/>
    <x v="0"/>
    <x v="3"/>
    <s v="08 de Julio evaluar continuidad"/>
    <x v="0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150"/>
    <n v="1"/>
    <n v="30"/>
    <x v="0"/>
    <x v="0"/>
    <m/>
    <x v="0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8"/>
    <n v="1"/>
    <n v="30"/>
    <x v="0"/>
    <x v="2"/>
    <m/>
    <x v="0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8"/>
    <n v="1"/>
    <n v="30"/>
    <x v="0"/>
    <x v="3"/>
    <m/>
    <x v="0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151"/>
    <n v="1"/>
    <n v="30"/>
    <x v="0"/>
    <x v="2"/>
    <m/>
    <x v="0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151"/>
    <n v="1"/>
    <n v="30"/>
    <x v="0"/>
    <x v="3"/>
    <m/>
    <x v="0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93"/>
    <n v="1"/>
    <n v="30"/>
    <x v="0"/>
    <x v="2"/>
    <m/>
    <x v="0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106"/>
    <n v="1"/>
    <n v="30"/>
    <x v="0"/>
    <x v="2"/>
    <m/>
    <x v="0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152"/>
    <n v="1"/>
    <n v="30"/>
    <x v="0"/>
    <x v="2"/>
    <m/>
    <x v="0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63"/>
    <n v="1"/>
    <n v="30"/>
    <x v="0"/>
    <x v="3"/>
    <m/>
    <x v="0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32"/>
    <n v="2"/>
    <m/>
    <x v="0"/>
    <x v="0"/>
    <s v="Solo si tiene fiebre o Dolor"/>
    <x v="2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32"/>
    <n v="2"/>
    <m/>
    <x v="0"/>
    <x v="1"/>
    <s v="Solo si tiene fiebre o Dolor"/>
    <x v="2"/>
    <m/>
    <m/>
  </r>
  <r>
    <x v="25"/>
    <s v="4756147-7"/>
    <s v="Dipreca"/>
    <n v="101"/>
    <s v="No Referidas"/>
    <s v="UCM 223914444, Apoderado Eduardo Belmar +56993020559"/>
    <d v="2025-04-07T00:00:00"/>
    <n v="81"/>
    <d v="1945-02-21T00:00:00"/>
    <s v="HTA, Daño renal Cronico (Dialisis) Antecedentes de Epistaxis. Anemia Severa, Potasio elevado, Fosforo elevado, posible acidosis, niveles altos de antigeno prostatico"/>
    <x v="32"/>
    <n v="2"/>
    <m/>
    <x v="0"/>
    <x v="4"/>
    <s v="Solo si tiene fiebre o Dolor"/>
    <x v="2"/>
    <m/>
    <m/>
  </r>
  <r>
    <x v="26"/>
    <m/>
    <m/>
    <m/>
    <m/>
    <m/>
    <m/>
    <m/>
    <m/>
    <m/>
    <x v="153"/>
    <m/>
    <m/>
    <x v="9"/>
    <x v="10"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D9E73-E353-4B9E-9557-FE16A05E4749}" name="TablaDinámica1" cacheId="4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F144" firstHeaderRow="1" firstDataRow="3" firstDataCol="2" rowPageCount="1" colPageCount="1"/>
  <pivotFields count="20">
    <pivotField axis="axisPage" compact="0" outline="0" showAll="0">
      <items count="29">
        <item x="22"/>
        <item x="1"/>
        <item x="7"/>
        <item m="1" x="27"/>
        <item x="9"/>
        <item x="23"/>
        <item x="0"/>
        <item x="4"/>
        <item x="10"/>
        <item x="12"/>
        <item x="19"/>
        <item x="6"/>
        <item x="20"/>
        <item x="15"/>
        <item x="8"/>
        <item x="2"/>
        <item x="14"/>
        <item x="25"/>
        <item x="21"/>
        <item x="16"/>
        <item x="11"/>
        <item x="17"/>
        <item x="3"/>
        <item x="24"/>
        <item x="5"/>
        <item x="18"/>
        <item x="13"/>
        <item x="2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67">
        <item x="12"/>
        <item m="1" x="165"/>
        <item x="134"/>
        <item m="1" x="164"/>
        <item m="1" x="155"/>
        <item x="10"/>
        <item x="0"/>
        <item x="95"/>
        <item x="94"/>
        <item x="2"/>
        <item x="152"/>
        <item x="79"/>
        <item x="149"/>
        <item x="81"/>
        <item x="147"/>
        <item x="130"/>
        <item x="46"/>
        <item x="58"/>
        <item m="1" x="166"/>
        <item m="1" x="154"/>
        <item x="63"/>
        <item x="9"/>
        <item x="104"/>
        <item x="74"/>
        <item x="52"/>
        <item x="140"/>
        <item x="76"/>
        <item x="129"/>
        <item x="18"/>
        <item x="84"/>
        <item x="139"/>
        <item x="15"/>
        <item x="110"/>
        <item x="60"/>
        <item x="8"/>
        <item x="71"/>
        <item x="137"/>
        <item x="64"/>
        <item x="144"/>
        <item x="103"/>
        <item x="108"/>
        <item x="38"/>
        <item x="146"/>
        <item x="82"/>
        <item x="101"/>
        <item x="80"/>
        <item x="6"/>
        <item x="73"/>
        <item x="120"/>
        <item x="100"/>
        <item x="68"/>
        <item x="16"/>
        <item x="75"/>
        <item x="135"/>
        <item x="105"/>
        <item m="1" x="161"/>
        <item x="35"/>
        <item x="88"/>
        <item x="36"/>
        <item x="28"/>
        <item x="47"/>
        <item x="66"/>
        <item x="150"/>
        <item x="126"/>
        <item x="111"/>
        <item x="90"/>
        <item x="44"/>
        <item x="102"/>
        <item x="48"/>
        <item x="54"/>
        <item x="142"/>
        <item x="27"/>
        <item x="116"/>
        <item x="113"/>
        <item x="83"/>
        <item x="136"/>
        <item x="109"/>
        <item x="106"/>
        <item x="49"/>
        <item x="19"/>
        <item x="115"/>
        <item x="13"/>
        <item x="122"/>
        <item x="61"/>
        <item x="89"/>
        <item x="96"/>
        <item x="53"/>
        <item x="20"/>
        <item x="127"/>
        <item x="98"/>
        <item x="121"/>
        <item x="57"/>
        <item x="31"/>
        <item x="22"/>
        <item x="125"/>
        <item x="3"/>
        <item x="7"/>
        <item x="29"/>
        <item x="143"/>
        <item x="65"/>
        <item x="45"/>
        <item m="1" x="157"/>
        <item x="87"/>
        <item x="14"/>
        <item x="50"/>
        <item x="41"/>
        <item x="59"/>
        <item x="40"/>
        <item x="24"/>
        <item m="1" x="163"/>
        <item x="123"/>
        <item x="138"/>
        <item x="42"/>
        <item m="1" x="162"/>
        <item x="39"/>
        <item x="1"/>
        <item x="124"/>
        <item x="32"/>
        <item x="114"/>
        <item x="86"/>
        <item x="37"/>
        <item x="148"/>
        <item x="151"/>
        <item x="128"/>
        <item x="56"/>
        <item x="70"/>
        <item x="132"/>
        <item x="34"/>
        <item x="78"/>
        <item m="1" x="159"/>
        <item x="11"/>
        <item x="85"/>
        <item x="25"/>
        <item x="131"/>
        <item x="141"/>
        <item x="107"/>
        <item x="55"/>
        <item m="1" x="156"/>
        <item x="33"/>
        <item x="26"/>
        <item x="91"/>
        <item x="119"/>
        <item x="17"/>
        <item x="77"/>
        <item x="118"/>
        <item x="21"/>
        <item x="23"/>
        <item m="1" x="158"/>
        <item x="43"/>
        <item x="51"/>
        <item x="4"/>
        <item x="5"/>
        <item x="92"/>
        <item x="62"/>
        <item x="67"/>
        <item x="133"/>
        <item x="93"/>
        <item x="97"/>
        <item m="1" x="160"/>
        <item x="99"/>
        <item x="69"/>
        <item x="145"/>
        <item x="112"/>
        <item x="117"/>
        <item x="72"/>
        <item x="30"/>
        <item x="153"/>
      </items>
    </pivotField>
    <pivotField dataField="1" compact="0" outline="0" showAll="0"/>
    <pivotField dataField="1" compact="0" outline="0" showAll="0"/>
    <pivotField axis="axisRow" compact="0" outline="0" multipleItemSelectionAllowed="1" showAll="0" defaultSubtotal="0">
      <items count="20">
        <item x="2"/>
        <item x="1"/>
        <item x="0"/>
        <item x="3"/>
        <item x="4"/>
        <item x="9"/>
        <item x="5"/>
        <item x="6"/>
        <item x="7"/>
        <item m="1" x="18"/>
        <item m="1" x="19"/>
        <item x="8"/>
        <item m="1" x="15"/>
        <item m="1" x="16"/>
        <item x="10"/>
        <item x="11"/>
        <item x="12"/>
        <item x="13"/>
        <item m="1" x="17"/>
        <item x="14"/>
      </items>
    </pivotField>
    <pivotField compact="0" outline="0" showAll="0">
      <items count="18">
        <item x="0"/>
        <item x="2"/>
        <item x="6"/>
        <item x="7"/>
        <item x="1"/>
        <item x="5"/>
        <item x="8"/>
        <item x="3"/>
        <item x="9"/>
        <item x="4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axis="axisCol" compact="0" outline="0" showAll="0" defaultSubtotal="0">
      <items count="4">
        <item x="0"/>
        <item h="1" x="1"/>
        <item h="1" x="3"/>
        <item h="1" x="2"/>
      </items>
    </pivotField>
    <pivotField compact="0" outline="0" showAll="0"/>
    <pivotField compact="0" outline="0" showAll="0"/>
    <pivotField compact="0" outline="0" showAll="0">
      <items count="2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25"/>
        <item t="default"/>
      </items>
    </pivotField>
  </pivotFields>
  <rowFields count="2">
    <field x="10"/>
    <field x="13"/>
  </rowFields>
  <rowItems count="139">
    <i>
      <x v="2"/>
      <x v="2"/>
    </i>
    <i>
      <x v="5"/>
      <x v="2"/>
    </i>
    <i>
      <x v="6"/>
      <x v="2"/>
    </i>
    <i>
      <x v="7"/>
      <x v="2"/>
    </i>
    <i>
      <x v="8"/>
      <x v="1"/>
    </i>
    <i>
      <x v="9"/>
      <x v="2"/>
    </i>
    <i>
      <x v="10"/>
      <x v="2"/>
    </i>
    <i>
      <x v="11"/>
      <x v="2"/>
    </i>
    <i>
      <x v="12"/>
      <x v="2"/>
    </i>
    <i>
      <x v="14"/>
      <x/>
    </i>
    <i>
      <x v="15"/>
      <x v="2"/>
    </i>
    <i>
      <x v="16"/>
      <x v="2"/>
    </i>
    <i>
      <x v="17"/>
      <x v="2"/>
    </i>
    <i>
      <x v="20"/>
      <x v="2"/>
    </i>
    <i>
      <x v="21"/>
      <x v="2"/>
    </i>
    <i>
      <x v="22"/>
      <x v="2"/>
    </i>
    <i>
      <x v="23"/>
      <x v="2"/>
    </i>
    <i>
      <x v="24"/>
      <x v="8"/>
    </i>
    <i>
      <x v="25"/>
      <x v="19"/>
    </i>
    <i>
      <x v="26"/>
      <x v="2"/>
    </i>
    <i>
      <x v="27"/>
      <x v="2"/>
    </i>
    <i>
      <x v="28"/>
      <x v="2"/>
    </i>
    <i>
      <x v="29"/>
      <x/>
    </i>
    <i>
      <x v="30"/>
      <x v="19"/>
    </i>
    <i>
      <x v="31"/>
      <x v="3"/>
    </i>
    <i>
      <x v="33"/>
      <x v="2"/>
    </i>
    <i>
      <x v="34"/>
      <x v="2"/>
    </i>
    <i>
      <x v="35"/>
      <x v="2"/>
    </i>
    <i>
      <x v="38"/>
      <x v="2"/>
    </i>
    <i>
      <x v="39"/>
      <x v="2"/>
    </i>
    <i>
      <x v="40"/>
      <x v="2"/>
    </i>
    <i>
      <x v="41"/>
      <x v="2"/>
    </i>
    <i>
      <x v="42"/>
      <x v="1"/>
    </i>
    <i>
      <x v="44"/>
      <x v="2"/>
    </i>
    <i>
      <x v="46"/>
      <x v="2"/>
    </i>
    <i>
      <x v="47"/>
      <x v="2"/>
    </i>
    <i>
      <x v="48"/>
      <x v="2"/>
    </i>
    <i>
      <x v="49"/>
      <x v="2"/>
    </i>
    <i>
      <x v="50"/>
      <x/>
    </i>
    <i>
      <x v="51"/>
      <x v="3"/>
    </i>
    <i>
      <x v="52"/>
      <x v="2"/>
    </i>
    <i>
      <x v="53"/>
      <x v="2"/>
    </i>
    <i>
      <x v="54"/>
      <x v="2"/>
    </i>
    <i>
      <x v="56"/>
      <x v="2"/>
    </i>
    <i>
      <x v="58"/>
      <x/>
    </i>
    <i>
      <x v="59"/>
      <x/>
    </i>
    <i>
      <x v="60"/>
      <x v="2"/>
    </i>
    <i>
      <x v="61"/>
      <x v="2"/>
    </i>
    <i>
      <x v="62"/>
      <x v="2"/>
    </i>
    <i>
      <x v="63"/>
      <x v="2"/>
    </i>
    <i>
      <x v="64"/>
      <x v="2"/>
    </i>
    <i>
      <x v="65"/>
      <x v="2"/>
    </i>
    <i>
      <x v="66"/>
      <x v="2"/>
    </i>
    <i>
      <x v="67"/>
      <x v="2"/>
    </i>
    <i>
      <x v="68"/>
      <x v="7"/>
    </i>
    <i>
      <x v="69"/>
      <x v="2"/>
    </i>
    <i>
      <x v="70"/>
      <x v="2"/>
    </i>
    <i>
      <x v="71"/>
      <x v="6"/>
    </i>
    <i>
      <x v="72"/>
      <x v="1"/>
    </i>
    <i>
      <x v="73"/>
      <x v="2"/>
    </i>
    <i>
      <x v="76"/>
      <x/>
    </i>
    <i>
      <x v="77"/>
      <x v="2"/>
    </i>
    <i>
      <x v="78"/>
      <x v="2"/>
    </i>
    <i>
      <x v="79"/>
      <x/>
    </i>
    <i>
      <x v="80"/>
      <x v="2"/>
    </i>
    <i>
      <x v="81"/>
      <x/>
    </i>
    <i>
      <x v="82"/>
      <x v="2"/>
    </i>
    <i>
      <x v="83"/>
      <x v="3"/>
    </i>
    <i>
      <x v="84"/>
      <x v="4"/>
    </i>
    <i>
      <x v="85"/>
      <x v="4"/>
    </i>
    <i>
      <x v="86"/>
      <x v="4"/>
    </i>
    <i>
      <x v="87"/>
      <x v="4"/>
    </i>
    <i>
      <x v="88"/>
      <x v="2"/>
    </i>
    <i>
      <x v="89"/>
      <x v="2"/>
    </i>
    <i>
      <x v="90"/>
      <x v="17"/>
    </i>
    <i>
      <x v="91"/>
      <x v="3"/>
    </i>
    <i>
      <x v="92"/>
      <x v="3"/>
    </i>
    <i>
      <x v="93"/>
      <x v="3"/>
    </i>
    <i>
      <x v="94"/>
      <x v="2"/>
    </i>
    <i>
      <x v="95"/>
      <x v="2"/>
    </i>
    <i>
      <x v="96"/>
      <x v="2"/>
    </i>
    <i>
      <x v="97"/>
      <x v="2"/>
    </i>
    <i>
      <x v="98"/>
      <x v="2"/>
    </i>
    <i>
      <x v="99"/>
      <x v="2"/>
    </i>
    <i>
      <x v="100"/>
      <x v="2"/>
    </i>
    <i>
      <x v="102"/>
      <x v="2"/>
    </i>
    <i>
      <x v="103"/>
      <x v="2"/>
    </i>
    <i>
      <x v="104"/>
      <x v="2"/>
    </i>
    <i>
      <x v="105"/>
      <x v="2"/>
    </i>
    <i>
      <x v="106"/>
      <x v="2"/>
    </i>
    <i>
      <x v="107"/>
      <x v="2"/>
    </i>
    <i>
      <x v="108"/>
      <x v="2"/>
    </i>
    <i>
      <x v="110"/>
      <x v="2"/>
    </i>
    <i>
      <x v="112"/>
      <x v="2"/>
    </i>
    <i>
      <x v="114"/>
      <x v="2"/>
    </i>
    <i>
      <x v="115"/>
      <x v="1"/>
    </i>
    <i r="1">
      <x v="2"/>
    </i>
    <i>
      <x v="117"/>
      <x v="2"/>
    </i>
    <i>
      <x v="118"/>
      <x v="7"/>
    </i>
    <i>
      <x v="119"/>
      <x v="2"/>
    </i>
    <i>
      <x v="120"/>
      <x v="6"/>
    </i>
    <i>
      <x v="122"/>
      <x v="2"/>
    </i>
    <i>
      <x v="123"/>
      <x v="2"/>
    </i>
    <i>
      <x v="124"/>
      <x v="2"/>
    </i>
    <i>
      <x v="125"/>
      <x/>
    </i>
    <i>
      <x v="126"/>
      <x v="2"/>
    </i>
    <i>
      <x v="127"/>
      <x v="2"/>
    </i>
    <i>
      <x v="128"/>
      <x v="2"/>
    </i>
    <i>
      <x v="130"/>
      <x v="2"/>
    </i>
    <i>
      <x v="131"/>
      <x v="3"/>
    </i>
    <i>
      <x v="132"/>
      <x v="3"/>
    </i>
    <i>
      <x v="133"/>
      <x v="2"/>
    </i>
    <i>
      <x v="135"/>
      <x v="15"/>
    </i>
    <i>
      <x v="136"/>
      <x v="3"/>
    </i>
    <i>
      <x v="138"/>
      <x v="2"/>
    </i>
    <i>
      <x v="139"/>
      <x v="2"/>
    </i>
    <i>
      <x v="140"/>
      <x v="3"/>
    </i>
    <i>
      <x v="141"/>
      <x v="2"/>
    </i>
    <i>
      <x v="142"/>
      <x v="2"/>
    </i>
    <i>
      <x v="143"/>
      <x v="2"/>
    </i>
    <i>
      <x v="144"/>
      <x v="2"/>
    </i>
    <i>
      <x v="145"/>
      <x v="2"/>
    </i>
    <i>
      <x v="146"/>
      <x v="2"/>
    </i>
    <i>
      <x v="148"/>
      <x v="2"/>
    </i>
    <i>
      <x v="149"/>
      <x v="2"/>
    </i>
    <i>
      <x v="150"/>
      <x v="2"/>
    </i>
    <i>
      <x v="151"/>
      <x v="2"/>
    </i>
    <i>
      <x v="152"/>
      <x v="2"/>
    </i>
    <i>
      <x v="153"/>
      <x v="2"/>
    </i>
    <i>
      <x v="154"/>
      <x/>
    </i>
    <i>
      <x v="155"/>
      <x v="2"/>
    </i>
    <i>
      <x v="156"/>
      <x v="2"/>
    </i>
    <i>
      <x v="157"/>
      <x v="3"/>
    </i>
    <i>
      <x v="159"/>
      <x v="2"/>
    </i>
    <i>
      <x v="160"/>
      <x v="2"/>
    </i>
    <i>
      <x v="161"/>
      <x/>
    </i>
    <i>
      <x v="162"/>
      <x v="16"/>
    </i>
    <i>
      <x v="165"/>
      <x v="2"/>
    </i>
    <i t="grand">
      <x/>
    </i>
  </rowItems>
  <colFields count="2">
    <field x="16"/>
    <field x="-2"/>
  </colFields>
  <colItems count="4">
    <i>
      <x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a de Dosis Diaria" fld="11" baseField="13" baseItem="2"/>
    <dataField name="Suma de Dosis Mensua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E3AC8-76F9-4D6A-B0CB-5D08FD285A5E}" name="TablaDinámica2" cacheId="4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C31" firstHeaderRow="1" firstDataRow="2" firstDataCol="1" rowPageCount="1" colPageCount="1"/>
  <pivotFields count="20">
    <pivotField axis="axisRow" compact="0" outline="0" showAll="0" defaultSubtotal="0">
      <items count="28">
        <item x="1"/>
        <item x="0"/>
        <item x="2"/>
        <item h="1" x="26"/>
        <item x="3"/>
        <item x="4"/>
        <item x="5"/>
        <item x="6"/>
        <item x="7"/>
        <item x="8"/>
        <item m="1" x="2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9"/>
        <item x="22"/>
        <item x="23"/>
        <item x="24"/>
        <item x="2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8">
        <item x="12"/>
        <item m="1" x="155"/>
        <item x="0"/>
        <item x="2"/>
        <item m="1" x="154"/>
        <item x="18"/>
        <item x="15"/>
        <item x="8"/>
        <item x="6"/>
        <item x="16"/>
        <item x="28"/>
        <item x="27"/>
        <item x="19"/>
        <item x="13"/>
        <item x="20"/>
        <item x="31"/>
        <item x="22"/>
        <item x="3"/>
        <item x="7"/>
        <item x="29"/>
        <item x="14"/>
        <item x="24"/>
        <item x="1"/>
        <item x="32"/>
        <item x="11"/>
        <item x="25"/>
        <item x="26"/>
        <item x="17"/>
        <item x="21"/>
        <item x="23"/>
        <item x="4"/>
        <item x="5"/>
        <item x="30"/>
        <item x="153"/>
        <item m="1" x="156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157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m="1" x="158"/>
        <item x="72"/>
        <item x="73"/>
        <item x="74"/>
        <item x="75"/>
        <item x="76"/>
        <item x="77"/>
        <item x="45"/>
        <item x="78"/>
        <item x="79"/>
        <item x="80"/>
        <item x="81"/>
        <item x="82"/>
        <item x="83"/>
        <item x="84"/>
        <item x="85"/>
        <item x="86"/>
        <item x="87"/>
        <item m="1" x="159"/>
        <item x="88"/>
        <item x="89"/>
        <item x="90"/>
        <item x="91"/>
        <item x="92"/>
        <item x="93"/>
        <item x="94"/>
        <item x="95"/>
        <item x="96"/>
        <item m="1" x="160"/>
        <item x="98"/>
        <item x="99"/>
        <item x="100"/>
        <item x="101"/>
        <item x="102"/>
        <item x="103"/>
        <item x="104"/>
        <item m="1" x="161"/>
        <item x="105"/>
        <item x="33"/>
        <item x="106"/>
        <item x="107"/>
        <item x="108"/>
        <item x="109"/>
        <item x="110"/>
        <item x="111"/>
        <item m="1" x="162"/>
        <item m="1" x="163"/>
        <item x="112"/>
        <item x="113"/>
        <item x="114"/>
        <item x="115"/>
        <item x="116"/>
        <item x="117"/>
        <item x="10"/>
        <item m="1" x="164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m="1" x="165"/>
        <item x="134"/>
        <item x="135"/>
        <item x="136"/>
        <item x="137"/>
        <item x="9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m="1" x="166"/>
        <item x="9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>
      <items count="18">
        <item x="0"/>
        <item x="2"/>
        <item x="6"/>
        <item x="7"/>
        <item x="1"/>
        <item x="5"/>
        <item x="8"/>
        <item x="3"/>
        <item x="9"/>
        <item x="4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7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25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Suma de Dosis Diaria" fld="11" baseField="0" baseItem="2"/>
    <dataField name="Suma de Dosis Mensua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416C-BE95-4304-95B4-EB6D9A99695C}">
  <dimension ref="A1:F144"/>
  <sheetViews>
    <sheetView workbookViewId="0">
      <pane ySplit="4" topLeftCell="A5" activePane="bottomLeft" state="frozen"/>
      <selection pane="bottomLeft" activeCell="A6" sqref="A6"/>
    </sheetView>
  </sheetViews>
  <sheetFormatPr baseColWidth="10" defaultRowHeight="14.4" x14ac:dyDescent="0.3"/>
  <cols>
    <col min="1" max="1" width="33.21875" bestFit="1" customWidth="1"/>
    <col min="2" max="2" width="14.109375" bestFit="1" customWidth="1"/>
    <col min="3" max="4" width="20.44140625" bestFit="1" customWidth="1"/>
    <col min="5" max="5" width="23.109375" bestFit="1" customWidth="1"/>
    <col min="6" max="6" width="25" bestFit="1" customWidth="1"/>
    <col min="7" max="7" width="24.21875" bestFit="1" customWidth="1"/>
    <col min="8" max="8" width="25" bestFit="1" customWidth="1"/>
  </cols>
  <sheetData>
    <row r="1" spans="1:6" x14ac:dyDescent="0.3">
      <c r="A1" s="5" t="s">
        <v>0</v>
      </c>
      <c r="B1" t="s">
        <v>89</v>
      </c>
    </row>
    <row r="3" spans="1:6" x14ac:dyDescent="0.3">
      <c r="C3" s="5" t="s">
        <v>28</v>
      </c>
      <c r="D3" s="5" t="s">
        <v>355</v>
      </c>
    </row>
    <row r="4" spans="1:6" x14ac:dyDescent="0.3">
      <c r="C4" t="s">
        <v>29</v>
      </c>
      <c r="E4" t="s">
        <v>358</v>
      </c>
      <c r="F4" t="s">
        <v>356</v>
      </c>
    </row>
    <row r="5" spans="1:6" x14ac:dyDescent="0.3">
      <c r="A5" s="5" t="s">
        <v>10</v>
      </c>
      <c r="B5" s="5" t="s">
        <v>50</v>
      </c>
      <c r="C5" t="s">
        <v>359</v>
      </c>
      <c r="D5" t="s">
        <v>357</v>
      </c>
    </row>
    <row r="6" spans="1:6" x14ac:dyDescent="0.3">
      <c r="A6" t="s">
        <v>303</v>
      </c>
      <c r="B6" t="s">
        <v>51</v>
      </c>
      <c r="C6" s="7">
        <v>2</v>
      </c>
      <c r="D6" s="7">
        <v>60</v>
      </c>
      <c r="E6" s="7">
        <v>2</v>
      </c>
      <c r="F6" s="7">
        <v>60</v>
      </c>
    </row>
    <row r="7" spans="1:6" x14ac:dyDescent="0.3">
      <c r="A7" t="s">
        <v>256</v>
      </c>
      <c r="B7" t="s">
        <v>51</v>
      </c>
      <c r="C7" s="7">
        <v>6</v>
      </c>
      <c r="D7" s="7">
        <v>180</v>
      </c>
      <c r="E7" s="7">
        <v>6</v>
      </c>
      <c r="F7" s="7">
        <v>180</v>
      </c>
    </row>
    <row r="8" spans="1:6" x14ac:dyDescent="0.3">
      <c r="A8" t="s">
        <v>26</v>
      </c>
      <c r="B8" t="s">
        <v>51</v>
      </c>
      <c r="C8" s="7">
        <v>2</v>
      </c>
      <c r="D8" s="7">
        <v>60</v>
      </c>
      <c r="E8" s="7">
        <v>2</v>
      </c>
      <c r="F8" s="7">
        <v>60</v>
      </c>
    </row>
    <row r="9" spans="1:6" x14ac:dyDescent="0.3">
      <c r="A9" t="s">
        <v>201</v>
      </c>
      <c r="B9" t="s">
        <v>51</v>
      </c>
      <c r="C9" s="7">
        <v>1</v>
      </c>
      <c r="D9" s="7">
        <v>30</v>
      </c>
      <c r="E9" s="7">
        <v>1</v>
      </c>
      <c r="F9" s="7">
        <v>30</v>
      </c>
    </row>
    <row r="10" spans="1:6" x14ac:dyDescent="0.3">
      <c r="A10" t="s">
        <v>200</v>
      </c>
      <c r="B10" t="s">
        <v>52</v>
      </c>
      <c r="C10" s="7">
        <v>1</v>
      </c>
      <c r="D10" s="7">
        <v>30</v>
      </c>
      <c r="E10" s="7">
        <v>1</v>
      </c>
      <c r="F10" s="7">
        <v>30</v>
      </c>
    </row>
    <row r="11" spans="1:6" x14ac:dyDescent="0.3">
      <c r="A11" t="s">
        <v>31</v>
      </c>
      <c r="B11" t="s">
        <v>51</v>
      </c>
      <c r="C11" s="7">
        <v>0.5</v>
      </c>
      <c r="D11" s="7">
        <v>15</v>
      </c>
      <c r="E11" s="7">
        <v>0.5</v>
      </c>
      <c r="F11" s="7">
        <v>15</v>
      </c>
    </row>
    <row r="12" spans="1:6" x14ac:dyDescent="0.3">
      <c r="A12" t="s">
        <v>351</v>
      </c>
      <c r="B12" t="s">
        <v>51</v>
      </c>
      <c r="C12" s="7">
        <v>1</v>
      </c>
      <c r="D12" s="7">
        <v>30</v>
      </c>
      <c r="E12" s="7">
        <v>1</v>
      </c>
      <c r="F12" s="7">
        <v>30</v>
      </c>
    </row>
    <row r="13" spans="1:6" x14ac:dyDescent="0.3">
      <c r="A13" t="s">
        <v>172</v>
      </c>
      <c r="B13" t="s">
        <v>51</v>
      </c>
      <c r="C13" s="7">
        <v>1</v>
      </c>
      <c r="D13" s="7">
        <v>30</v>
      </c>
      <c r="E13" s="7">
        <v>1</v>
      </c>
      <c r="F13" s="7">
        <v>30</v>
      </c>
    </row>
    <row r="14" spans="1:6" x14ac:dyDescent="0.3">
      <c r="A14" t="s">
        <v>342</v>
      </c>
      <c r="B14" t="s">
        <v>51</v>
      </c>
      <c r="C14" s="7">
        <v>1</v>
      </c>
      <c r="D14" s="7">
        <v>30</v>
      </c>
      <c r="E14" s="7">
        <v>1</v>
      </c>
      <c r="F14" s="7">
        <v>30</v>
      </c>
    </row>
    <row r="15" spans="1:6" x14ac:dyDescent="0.3">
      <c r="A15" t="s">
        <v>336</v>
      </c>
      <c r="B15" t="s">
        <v>53</v>
      </c>
      <c r="C15" s="7">
        <v>1</v>
      </c>
      <c r="D15" s="7">
        <v>30</v>
      </c>
      <c r="E15" s="7">
        <v>1</v>
      </c>
      <c r="F15" s="7">
        <v>30</v>
      </c>
    </row>
    <row r="16" spans="1:6" x14ac:dyDescent="0.3">
      <c r="A16" t="s">
        <v>287</v>
      </c>
      <c r="B16" t="s">
        <v>51</v>
      </c>
      <c r="C16" s="7">
        <v>0.5</v>
      </c>
      <c r="D16" s="7">
        <v>15</v>
      </c>
      <c r="E16" s="7">
        <v>0.5</v>
      </c>
      <c r="F16" s="7">
        <v>15</v>
      </c>
    </row>
    <row r="17" spans="1:6" x14ac:dyDescent="0.3">
      <c r="A17" t="s">
        <v>116</v>
      </c>
      <c r="B17" t="s">
        <v>51</v>
      </c>
      <c r="C17" s="7">
        <v>1</v>
      </c>
      <c r="D17" s="7">
        <v>30</v>
      </c>
      <c r="E17" s="7">
        <v>1</v>
      </c>
      <c r="F17" s="7">
        <v>30</v>
      </c>
    </row>
    <row r="18" spans="1:6" x14ac:dyDescent="0.3">
      <c r="A18" t="s">
        <v>136</v>
      </c>
      <c r="B18" t="s">
        <v>51</v>
      </c>
      <c r="C18" s="7">
        <v>4</v>
      </c>
      <c r="D18" s="7">
        <v>120</v>
      </c>
      <c r="E18" s="7">
        <v>4</v>
      </c>
      <c r="F18" s="7">
        <v>120</v>
      </c>
    </row>
    <row r="19" spans="1:6" x14ac:dyDescent="0.3">
      <c r="A19" t="s">
        <v>141</v>
      </c>
      <c r="B19" t="s">
        <v>51</v>
      </c>
      <c r="C19" s="7">
        <v>5</v>
      </c>
      <c r="D19" s="7">
        <v>150</v>
      </c>
      <c r="E19" s="7">
        <v>5</v>
      </c>
      <c r="F19" s="7">
        <v>150</v>
      </c>
    </row>
    <row r="20" spans="1:6" x14ac:dyDescent="0.3">
      <c r="A20" t="s">
        <v>360</v>
      </c>
      <c r="B20" t="s">
        <v>51</v>
      </c>
      <c r="C20" s="7">
        <v>1</v>
      </c>
      <c r="D20" s="7">
        <v>30</v>
      </c>
      <c r="E20" s="7">
        <v>1</v>
      </c>
      <c r="F20" s="7">
        <v>30</v>
      </c>
    </row>
    <row r="21" spans="1:6" x14ac:dyDescent="0.3">
      <c r="A21" t="s">
        <v>221</v>
      </c>
      <c r="B21" t="s">
        <v>51</v>
      </c>
      <c r="C21" s="7">
        <v>2</v>
      </c>
      <c r="D21" s="7">
        <v>60</v>
      </c>
      <c r="E21" s="7">
        <v>2</v>
      </c>
      <c r="F21" s="7">
        <v>60</v>
      </c>
    </row>
    <row r="22" spans="1:6" x14ac:dyDescent="0.3">
      <c r="A22" t="s">
        <v>165</v>
      </c>
      <c r="B22" t="s">
        <v>51</v>
      </c>
      <c r="C22" s="7">
        <v>7</v>
      </c>
      <c r="D22" s="7">
        <v>210</v>
      </c>
      <c r="E22" s="7">
        <v>7</v>
      </c>
      <c r="F22" s="7">
        <v>210</v>
      </c>
    </row>
    <row r="23" spans="1:6" x14ac:dyDescent="0.3">
      <c r="A23" t="s">
        <v>128</v>
      </c>
      <c r="B23" t="s">
        <v>129</v>
      </c>
      <c r="C23" s="7">
        <v>8</v>
      </c>
      <c r="D23" s="7">
        <v>240</v>
      </c>
      <c r="E23" s="7">
        <v>8</v>
      </c>
      <c r="F23" s="7">
        <v>240</v>
      </c>
    </row>
    <row r="24" spans="1:6" x14ac:dyDescent="0.3">
      <c r="A24" t="s">
        <v>318</v>
      </c>
      <c r="B24" t="s">
        <v>317</v>
      </c>
      <c r="C24" s="7">
        <v>2</v>
      </c>
      <c r="D24" s="7">
        <v>60</v>
      </c>
      <c r="E24" s="7">
        <v>2</v>
      </c>
      <c r="F24" s="7">
        <v>60</v>
      </c>
    </row>
    <row r="25" spans="1:6" x14ac:dyDescent="0.3">
      <c r="A25" t="s">
        <v>168</v>
      </c>
      <c r="B25" t="s">
        <v>51</v>
      </c>
      <c r="C25" s="7">
        <v>3</v>
      </c>
      <c r="D25" s="7">
        <v>90</v>
      </c>
      <c r="E25" s="7">
        <v>3</v>
      </c>
      <c r="F25" s="7">
        <v>90</v>
      </c>
    </row>
    <row r="26" spans="1:6" x14ac:dyDescent="0.3">
      <c r="A26" t="s">
        <v>286</v>
      </c>
      <c r="B26" t="s">
        <v>51</v>
      </c>
      <c r="C26" s="7">
        <v>1</v>
      </c>
      <c r="D26" s="7">
        <v>30</v>
      </c>
      <c r="E26" s="7">
        <v>1</v>
      </c>
      <c r="F26" s="7">
        <v>30</v>
      </c>
    </row>
    <row r="27" spans="1:6" x14ac:dyDescent="0.3">
      <c r="A27" t="s">
        <v>61</v>
      </c>
      <c r="B27" t="s">
        <v>51</v>
      </c>
      <c r="C27" s="7">
        <v>0.5</v>
      </c>
      <c r="D27" s="7">
        <v>15</v>
      </c>
      <c r="E27" s="7">
        <v>0.5</v>
      </c>
      <c r="F27" s="7">
        <v>15</v>
      </c>
    </row>
    <row r="28" spans="1:6" x14ac:dyDescent="0.3">
      <c r="A28" t="s">
        <v>185</v>
      </c>
      <c r="B28" t="s">
        <v>53</v>
      </c>
      <c r="C28" s="7">
        <v>2</v>
      </c>
      <c r="D28" s="7">
        <v>60</v>
      </c>
      <c r="E28" s="7">
        <v>2</v>
      </c>
      <c r="F28" s="7">
        <v>60</v>
      </c>
    </row>
    <row r="29" spans="1:6" x14ac:dyDescent="0.3">
      <c r="A29" t="s">
        <v>316</v>
      </c>
      <c r="B29" t="s">
        <v>317</v>
      </c>
      <c r="C29" s="7">
        <v>2</v>
      </c>
      <c r="D29" s="7">
        <v>60</v>
      </c>
      <c r="E29" s="7">
        <v>2</v>
      </c>
      <c r="F29" s="7">
        <v>60</v>
      </c>
    </row>
    <row r="30" spans="1:6" x14ac:dyDescent="0.3">
      <c r="A30" t="s">
        <v>55</v>
      </c>
      <c r="B30" t="s">
        <v>56</v>
      </c>
      <c r="C30" s="7">
        <v>2</v>
      </c>
      <c r="D30" s="7">
        <v>60</v>
      </c>
      <c r="E30" s="7">
        <v>2</v>
      </c>
      <c r="F30" s="7">
        <v>60</v>
      </c>
    </row>
    <row r="31" spans="1:6" x14ac:dyDescent="0.3">
      <c r="A31" t="s">
        <v>138</v>
      </c>
      <c r="B31" t="s">
        <v>51</v>
      </c>
      <c r="C31" s="7">
        <v>1</v>
      </c>
      <c r="D31" s="7">
        <v>30</v>
      </c>
      <c r="E31" s="7">
        <v>1</v>
      </c>
      <c r="F31" s="7">
        <v>30</v>
      </c>
    </row>
    <row r="32" spans="1:6" x14ac:dyDescent="0.3">
      <c r="A32" t="s">
        <v>37</v>
      </c>
      <c r="B32" t="s">
        <v>51</v>
      </c>
      <c r="C32" s="7">
        <v>3</v>
      </c>
      <c r="D32" s="7">
        <v>90</v>
      </c>
      <c r="E32" s="7">
        <v>3</v>
      </c>
      <c r="F32" s="7">
        <v>90</v>
      </c>
    </row>
    <row r="33" spans="1:6" x14ac:dyDescent="0.3">
      <c r="A33" t="s">
        <v>156</v>
      </c>
      <c r="B33" t="s">
        <v>51</v>
      </c>
      <c r="C33" s="7">
        <v>1</v>
      </c>
      <c r="D33" s="7">
        <v>30</v>
      </c>
      <c r="E33" s="7">
        <v>1</v>
      </c>
      <c r="F33" s="7">
        <v>30</v>
      </c>
    </row>
    <row r="34" spans="1:6" x14ac:dyDescent="0.3">
      <c r="A34" t="s">
        <v>333</v>
      </c>
      <c r="B34" t="s">
        <v>51</v>
      </c>
      <c r="C34" s="7">
        <v>1</v>
      </c>
      <c r="D34" s="7">
        <v>30</v>
      </c>
      <c r="E34" s="7">
        <v>1</v>
      </c>
      <c r="F34" s="7">
        <v>30</v>
      </c>
    </row>
    <row r="35" spans="1:6" x14ac:dyDescent="0.3">
      <c r="A35" t="s">
        <v>220</v>
      </c>
      <c r="B35" t="s">
        <v>51</v>
      </c>
      <c r="C35" s="7">
        <v>2</v>
      </c>
      <c r="D35" s="7">
        <v>60</v>
      </c>
      <c r="E35" s="7">
        <v>2</v>
      </c>
      <c r="F35" s="7">
        <v>60</v>
      </c>
    </row>
    <row r="36" spans="1:6" x14ac:dyDescent="0.3">
      <c r="A36" t="s">
        <v>227</v>
      </c>
      <c r="B36" t="s">
        <v>51</v>
      </c>
      <c r="C36" s="7">
        <v>1</v>
      </c>
      <c r="D36" s="7">
        <v>30</v>
      </c>
      <c r="E36" s="7">
        <v>1</v>
      </c>
      <c r="F36" s="7">
        <v>30</v>
      </c>
    </row>
    <row r="37" spans="1:6" x14ac:dyDescent="0.3">
      <c r="A37" t="s">
        <v>103</v>
      </c>
      <c r="B37" t="s">
        <v>51</v>
      </c>
      <c r="C37" s="7">
        <v>1</v>
      </c>
      <c r="D37" s="7">
        <v>30</v>
      </c>
      <c r="E37" s="7">
        <v>1</v>
      </c>
      <c r="F37" s="7">
        <v>30</v>
      </c>
    </row>
    <row r="38" spans="1:6" x14ac:dyDescent="0.3">
      <c r="A38" t="s">
        <v>335</v>
      </c>
      <c r="B38" t="s">
        <v>52</v>
      </c>
      <c r="C38" s="7">
        <v>1</v>
      </c>
      <c r="D38" s="7">
        <v>30</v>
      </c>
      <c r="E38" s="7">
        <v>1</v>
      </c>
      <c r="F38" s="7">
        <v>30</v>
      </c>
    </row>
    <row r="39" spans="1:6" x14ac:dyDescent="0.3">
      <c r="A39" t="s">
        <v>213</v>
      </c>
      <c r="B39" t="s">
        <v>51</v>
      </c>
      <c r="C39" s="7">
        <v>0.5</v>
      </c>
      <c r="D39" s="7">
        <v>15</v>
      </c>
      <c r="E39" s="7">
        <v>0.5</v>
      </c>
      <c r="F39" s="7">
        <v>15</v>
      </c>
    </row>
    <row r="40" spans="1:6" x14ac:dyDescent="0.3">
      <c r="A40" t="s">
        <v>35</v>
      </c>
      <c r="B40" t="s">
        <v>51</v>
      </c>
      <c r="C40" s="7">
        <v>2</v>
      </c>
      <c r="D40" s="7">
        <v>60</v>
      </c>
      <c r="E40" s="7">
        <v>2</v>
      </c>
      <c r="F40" s="7">
        <v>60</v>
      </c>
    </row>
    <row r="41" spans="1:6" x14ac:dyDescent="0.3">
      <c r="A41" t="s">
        <v>164</v>
      </c>
      <c r="B41" t="s">
        <v>51</v>
      </c>
      <c r="C41" s="7">
        <v>3</v>
      </c>
      <c r="D41" s="7">
        <v>90</v>
      </c>
      <c r="E41" s="7">
        <v>3</v>
      </c>
      <c r="F41" s="7">
        <v>90</v>
      </c>
    </row>
    <row r="42" spans="1:6" x14ac:dyDescent="0.3">
      <c r="A42" t="s">
        <v>259</v>
      </c>
      <c r="B42" t="s">
        <v>51</v>
      </c>
      <c r="C42" s="7">
        <v>1</v>
      </c>
      <c r="D42" s="7">
        <v>30</v>
      </c>
      <c r="E42" s="7">
        <v>1</v>
      </c>
      <c r="F42" s="7">
        <v>30</v>
      </c>
    </row>
    <row r="43" spans="1:6" x14ac:dyDescent="0.3">
      <c r="A43" t="s">
        <v>212</v>
      </c>
      <c r="B43" t="s">
        <v>51</v>
      </c>
      <c r="C43" s="7">
        <v>1.5</v>
      </c>
      <c r="D43" s="7">
        <v>45</v>
      </c>
      <c r="E43" s="7">
        <v>1.5</v>
      </c>
      <c r="F43" s="7">
        <v>45</v>
      </c>
    </row>
    <row r="44" spans="1:6" x14ac:dyDescent="0.3">
      <c r="A44" t="s">
        <v>153</v>
      </c>
      <c r="B44" t="s">
        <v>53</v>
      </c>
      <c r="C44" s="7">
        <v>9</v>
      </c>
      <c r="D44" s="7">
        <v>270</v>
      </c>
      <c r="E44" s="7">
        <v>9</v>
      </c>
      <c r="F44" s="7">
        <v>270</v>
      </c>
    </row>
    <row r="45" spans="1:6" x14ac:dyDescent="0.3">
      <c r="A45" t="s">
        <v>58</v>
      </c>
      <c r="B45" t="s">
        <v>56</v>
      </c>
      <c r="C45" s="7">
        <v>2</v>
      </c>
      <c r="D45" s="7">
        <v>60</v>
      </c>
      <c r="E45" s="7">
        <v>2</v>
      </c>
      <c r="F45" s="7">
        <v>60</v>
      </c>
    </row>
    <row r="46" spans="1:6" x14ac:dyDescent="0.3">
      <c r="A46" t="s">
        <v>166</v>
      </c>
      <c r="B46" t="s">
        <v>51</v>
      </c>
      <c r="C46" s="7">
        <v>1</v>
      </c>
      <c r="D46" s="7">
        <v>30</v>
      </c>
      <c r="E46" s="7">
        <v>1</v>
      </c>
      <c r="F46" s="7">
        <v>30</v>
      </c>
    </row>
    <row r="47" spans="1:6" x14ac:dyDescent="0.3">
      <c r="A47" t="s">
        <v>304</v>
      </c>
      <c r="B47" t="s">
        <v>51</v>
      </c>
      <c r="C47" s="7">
        <v>1</v>
      </c>
      <c r="D47" s="7">
        <v>30</v>
      </c>
      <c r="E47" s="7">
        <v>1</v>
      </c>
      <c r="F47" s="7">
        <v>30</v>
      </c>
    </row>
    <row r="48" spans="1:6" x14ac:dyDescent="0.3">
      <c r="A48" t="s">
        <v>222</v>
      </c>
      <c r="B48" t="s">
        <v>51</v>
      </c>
      <c r="C48" s="7">
        <v>2</v>
      </c>
      <c r="D48" s="7">
        <v>60</v>
      </c>
      <c r="E48" s="7">
        <v>2</v>
      </c>
      <c r="F48" s="7">
        <v>60</v>
      </c>
    </row>
    <row r="49" spans="1:6" x14ac:dyDescent="0.3">
      <c r="A49" t="s">
        <v>99</v>
      </c>
      <c r="B49" t="s">
        <v>51</v>
      </c>
      <c r="C49" s="7">
        <v>4.5</v>
      </c>
      <c r="D49" s="7">
        <v>135</v>
      </c>
      <c r="E49" s="7">
        <v>4.5</v>
      </c>
      <c r="F49" s="7">
        <v>135</v>
      </c>
    </row>
    <row r="50" spans="1:6" x14ac:dyDescent="0.3">
      <c r="A50" t="s">
        <v>100</v>
      </c>
      <c r="B50" t="s">
        <v>53</v>
      </c>
      <c r="C50" s="7">
        <v>6</v>
      </c>
      <c r="D50" s="7">
        <v>180</v>
      </c>
      <c r="E50" s="7">
        <v>6</v>
      </c>
      <c r="F50" s="7">
        <v>180</v>
      </c>
    </row>
    <row r="51" spans="1:6" x14ac:dyDescent="0.3">
      <c r="A51" t="s">
        <v>82</v>
      </c>
      <c r="B51" t="s">
        <v>53</v>
      </c>
      <c r="C51" s="7">
        <v>1</v>
      </c>
      <c r="D51" s="7">
        <v>30</v>
      </c>
      <c r="E51" s="7">
        <v>1</v>
      </c>
      <c r="F51" s="7">
        <v>30</v>
      </c>
    </row>
    <row r="52" spans="1:6" x14ac:dyDescent="0.3">
      <c r="A52" t="s">
        <v>117</v>
      </c>
      <c r="B52" t="s">
        <v>51</v>
      </c>
      <c r="C52" s="7">
        <v>3</v>
      </c>
      <c r="D52" s="7">
        <v>90</v>
      </c>
      <c r="E52" s="7">
        <v>3</v>
      </c>
      <c r="F52" s="7">
        <v>90</v>
      </c>
    </row>
    <row r="53" spans="1:6" x14ac:dyDescent="0.3">
      <c r="A53" t="s">
        <v>149</v>
      </c>
      <c r="B53" t="s">
        <v>51</v>
      </c>
      <c r="C53" s="7">
        <v>2</v>
      </c>
      <c r="D53" s="7">
        <v>60</v>
      </c>
      <c r="E53" s="7">
        <v>2</v>
      </c>
      <c r="F53" s="7">
        <v>60</v>
      </c>
    </row>
    <row r="54" spans="1:6" x14ac:dyDescent="0.3">
      <c r="A54" t="s">
        <v>349</v>
      </c>
      <c r="B54" t="s">
        <v>51</v>
      </c>
      <c r="C54" s="7">
        <v>1</v>
      </c>
      <c r="D54" s="7">
        <v>30</v>
      </c>
      <c r="E54" s="7">
        <v>1</v>
      </c>
      <c r="F54" s="7">
        <v>30</v>
      </c>
    </row>
    <row r="55" spans="1:6" x14ac:dyDescent="0.3">
      <c r="A55" t="s">
        <v>283</v>
      </c>
      <c r="B55" t="s">
        <v>51</v>
      </c>
      <c r="C55" s="7">
        <v>0.5</v>
      </c>
      <c r="D55" s="7">
        <v>15</v>
      </c>
      <c r="E55" s="7">
        <v>0.5</v>
      </c>
      <c r="F55" s="7">
        <v>15</v>
      </c>
    </row>
    <row r="56" spans="1:6" x14ac:dyDescent="0.3">
      <c r="A56" t="s">
        <v>239</v>
      </c>
      <c r="B56" t="s">
        <v>51</v>
      </c>
      <c r="C56" s="7">
        <v>1</v>
      </c>
      <c r="D56" s="7">
        <v>30</v>
      </c>
      <c r="E56" s="7">
        <v>1</v>
      </c>
      <c r="F56" s="7">
        <v>30</v>
      </c>
    </row>
    <row r="57" spans="1:6" x14ac:dyDescent="0.3">
      <c r="A57" t="s">
        <v>196</v>
      </c>
      <c r="B57" t="s">
        <v>51</v>
      </c>
      <c r="C57" s="7">
        <v>1</v>
      </c>
      <c r="D57" s="7">
        <v>30</v>
      </c>
      <c r="E57" s="7">
        <v>1</v>
      </c>
      <c r="F57" s="7">
        <v>30</v>
      </c>
    </row>
    <row r="58" spans="1:6" x14ac:dyDescent="0.3">
      <c r="A58" t="s">
        <v>115</v>
      </c>
      <c r="B58" t="s">
        <v>51</v>
      </c>
      <c r="C58" s="7">
        <v>1</v>
      </c>
      <c r="D58" s="7">
        <v>30</v>
      </c>
      <c r="E58" s="7">
        <v>1</v>
      </c>
      <c r="F58" s="7">
        <v>30</v>
      </c>
    </row>
    <row r="59" spans="1:6" x14ac:dyDescent="0.3">
      <c r="A59" t="s">
        <v>214</v>
      </c>
      <c r="B59" t="s">
        <v>51</v>
      </c>
      <c r="C59" s="7">
        <v>1</v>
      </c>
      <c r="D59" s="7">
        <v>30</v>
      </c>
      <c r="E59" s="7">
        <v>1</v>
      </c>
      <c r="F59" s="7">
        <v>30</v>
      </c>
    </row>
    <row r="60" spans="1:6" x14ac:dyDescent="0.3">
      <c r="A60" t="s">
        <v>118</v>
      </c>
      <c r="B60" t="s">
        <v>119</v>
      </c>
      <c r="C60" s="7">
        <v>1</v>
      </c>
      <c r="D60" s="7">
        <v>30</v>
      </c>
      <c r="E60" s="7">
        <v>1</v>
      </c>
      <c r="F60" s="7">
        <v>30</v>
      </c>
    </row>
    <row r="61" spans="1:6" x14ac:dyDescent="0.3">
      <c r="A61" t="s">
        <v>132</v>
      </c>
      <c r="B61" t="s">
        <v>51</v>
      </c>
      <c r="C61" s="7">
        <v>1</v>
      </c>
      <c r="D61" s="7">
        <v>30</v>
      </c>
      <c r="E61" s="7">
        <v>1</v>
      </c>
      <c r="F61" s="7">
        <v>30</v>
      </c>
    </row>
    <row r="62" spans="1:6" x14ac:dyDescent="0.3">
      <c r="A62" t="s">
        <v>325</v>
      </c>
      <c r="B62" t="s">
        <v>51</v>
      </c>
      <c r="C62" s="7">
        <v>1</v>
      </c>
      <c r="D62" s="7">
        <v>30</v>
      </c>
      <c r="E62" s="7">
        <v>1</v>
      </c>
      <c r="F62" s="7">
        <v>30</v>
      </c>
    </row>
    <row r="63" spans="1:6" x14ac:dyDescent="0.3">
      <c r="A63" t="s">
        <v>80</v>
      </c>
      <c r="B63" t="s">
        <v>81</v>
      </c>
      <c r="C63" s="7">
        <v>6</v>
      </c>
      <c r="D63" s="7">
        <v>180</v>
      </c>
      <c r="E63" s="7">
        <v>6</v>
      </c>
      <c r="F63" s="7">
        <v>180</v>
      </c>
    </row>
    <row r="64" spans="1:6" x14ac:dyDescent="0.3">
      <c r="A64" t="s">
        <v>250</v>
      </c>
      <c r="B64" t="s">
        <v>52</v>
      </c>
      <c r="C64" s="7">
        <v>1</v>
      </c>
      <c r="D64" s="7">
        <v>30</v>
      </c>
      <c r="E64" s="7">
        <v>1</v>
      </c>
      <c r="F64" s="7">
        <v>30</v>
      </c>
    </row>
    <row r="65" spans="1:6" x14ac:dyDescent="0.3">
      <c r="A65" t="s">
        <v>247</v>
      </c>
      <c r="B65" t="s">
        <v>51</v>
      </c>
      <c r="C65" s="7">
        <v>1</v>
      </c>
      <c r="D65" s="7">
        <v>30</v>
      </c>
      <c r="E65" s="7">
        <v>1</v>
      </c>
      <c r="F65" s="7">
        <v>30</v>
      </c>
    </row>
    <row r="66" spans="1:6" x14ac:dyDescent="0.3">
      <c r="A66" t="s">
        <v>230</v>
      </c>
      <c r="B66" t="s">
        <v>53</v>
      </c>
      <c r="C66" s="7">
        <v>1</v>
      </c>
      <c r="D66" s="7">
        <v>30</v>
      </c>
      <c r="E66" s="7">
        <v>1</v>
      </c>
      <c r="F66" s="7">
        <v>30</v>
      </c>
    </row>
    <row r="67" spans="1:6" x14ac:dyDescent="0.3">
      <c r="A67" t="s">
        <v>224</v>
      </c>
      <c r="B67" t="s">
        <v>51</v>
      </c>
      <c r="C67" s="7">
        <v>1.5</v>
      </c>
      <c r="D67" s="7">
        <v>45</v>
      </c>
      <c r="E67" s="7">
        <v>1.5</v>
      </c>
      <c r="F67" s="7">
        <v>45</v>
      </c>
    </row>
    <row r="68" spans="1:6" x14ac:dyDescent="0.3">
      <c r="A68" t="s">
        <v>121</v>
      </c>
      <c r="B68" t="s">
        <v>51</v>
      </c>
      <c r="C68" s="7">
        <v>1</v>
      </c>
      <c r="D68" s="7">
        <v>30</v>
      </c>
      <c r="E68" s="7">
        <v>1</v>
      </c>
      <c r="F68" s="7">
        <v>30</v>
      </c>
    </row>
    <row r="69" spans="1:6" x14ac:dyDescent="0.3">
      <c r="A69" t="s">
        <v>62</v>
      </c>
      <c r="B69" t="s">
        <v>53</v>
      </c>
      <c r="C69" s="7">
        <v>1</v>
      </c>
      <c r="D69" s="7">
        <v>30</v>
      </c>
      <c r="E69" s="7">
        <v>1</v>
      </c>
      <c r="F69" s="7">
        <v>30</v>
      </c>
    </row>
    <row r="70" spans="1:6" x14ac:dyDescent="0.3">
      <c r="A70" t="s">
        <v>249</v>
      </c>
      <c r="B70" t="s">
        <v>51</v>
      </c>
      <c r="C70" s="7">
        <v>2</v>
      </c>
      <c r="D70" s="7">
        <v>60</v>
      </c>
      <c r="E70" s="7">
        <v>2</v>
      </c>
      <c r="F70" s="7">
        <v>60</v>
      </c>
    </row>
    <row r="71" spans="1:6" x14ac:dyDescent="0.3">
      <c r="A71" t="s">
        <v>48</v>
      </c>
      <c r="B71" t="s">
        <v>53</v>
      </c>
      <c r="C71" s="7">
        <v>10</v>
      </c>
      <c r="D71" s="7">
        <v>300</v>
      </c>
      <c r="E71" s="7">
        <v>10</v>
      </c>
      <c r="F71" s="7">
        <v>300</v>
      </c>
    </row>
    <row r="72" spans="1:6" x14ac:dyDescent="0.3">
      <c r="A72" t="s">
        <v>262</v>
      </c>
      <c r="B72" t="s">
        <v>51</v>
      </c>
      <c r="C72" s="7">
        <v>1.5</v>
      </c>
      <c r="D72" s="7">
        <v>45</v>
      </c>
      <c r="E72" s="7">
        <v>1.5</v>
      </c>
      <c r="F72" s="7">
        <v>45</v>
      </c>
    </row>
    <row r="73" spans="1:6" x14ac:dyDescent="0.3">
      <c r="A73" t="s">
        <v>139</v>
      </c>
      <c r="B73" t="s">
        <v>56</v>
      </c>
      <c r="C73" s="7">
        <v>1</v>
      </c>
      <c r="D73" s="7">
        <v>30</v>
      </c>
      <c r="E73" s="7">
        <v>1</v>
      </c>
      <c r="F73" s="7">
        <v>30</v>
      </c>
    </row>
    <row r="74" spans="1:6" x14ac:dyDescent="0.3">
      <c r="A74" t="s">
        <v>195</v>
      </c>
      <c r="B74" t="s">
        <v>65</v>
      </c>
      <c r="C74" s="7">
        <v>45</v>
      </c>
      <c r="D74" s="7">
        <v>1350</v>
      </c>
      <c r="E74" s="7">
        <v>45</v>
      </c>
      <c r="F74" s="7">
        <v>1350</v>
      </c>
    </row>
    <row r="75" spans="1:6" x14ac:dyDescent="0.3">
      <c r="A75" t="s">
        <v>202</v>
      </c>
      <c r="B75" t="s">
        <v>65</v>
      </c>
      <c r="C75" s="7">
        <v>0</v>
      </c>
      <c r="D75" s="7">
        <v>0</v>
      </c>
      <c r="E75" s="7">
        <v>0</v>
      </c>
      <c r="F75" s="7">
        <v>0</v>
      </c>
    </row>
    <row r="76" spans="1:6" x14ac:dyDescent="0.3">
      <c r="A76" t="s">
        <v>131</v>
      </c>
      <c r="B76" t="s">
        <v>65</v>
      </c>
      <c r="C76" s="7">
        <v>44</v>
      </c>
      <c r="D76" s="7">
        <v>1320</v>
      </c>
      <c r="E76" s="7">
        <v>44</v>
      </c>
      <c r="F76" s="7">
        <v>1320</v>
      </c>
    </row>
    <row r="77" spans="1:6" x14ac:dyDescent="0.3">
      <c r="A77" t="s">
        <v>64</v>
      </c>
      <c r="B77" t="s">
        <v>65</v>
      </c>
      <c r="C77" s="7">
        <v>12</v>
      </c>
      <c r="D77" s="7">
        <v>360</v>
      </c>
      <c r="E77" s="7">
        <v>12</v>
      </c>
      <c r="F77" s="7">
        <v>360</v>
      </c>
    </row>
    <row r="78" spans="1:6" x14ac:dyDescent="0.3">
      <c r="A78" t="s">
        <v>284</v>
      </c>
      <c r="B78" t="s">
        <v>51</v>
      </c>
      <c r="C78" s="7">
        <v>0.5</v>
      </c>
      <c r="D78" s="7">
        <v>15</v>
      </c>
      <c r="E78" s="7">
        <v>0.5</v>
      </c>
      <c r="F78" s="7">
        <v>15</v>
      </c>
    </row>
    <row r="79" spans="1:6" x14ac:dyDescent="0.3">
      <c r="A79" t="s">
        <v>210</v>
      </c>
      <c r="B79" t="s">
        <v>51</v>
      </c>
      <c r="C79" s="7">
        <v>1</v>
      </c>
      <c r="D79" s="7">
        <v>30</v>
      </c>
      <c r="E79" s="7">
        <v>1</v>
      </c>
      <c r="F79" s="7">
        <v>30</v>
      </c>
    </row>
    <row r="80" spans="1:6" x14ac:dyDescent="0.3">
      <c r="A80" t="s">
        <v>260</v>
      </c>
      <c r="B80" t="s">
        <v>261</v>
      </c>
      <c r="C80" s="7">
        <v>30</v>
      </c>
      <c r="D80" s="7">
        <v>900</v>
      </c>
      <c r="E80" s="7">
        <v>30</v>
      </c>
      <c r="F80" s="7">
        <v>900</v>
      </c>
    </row>
    <row r="81" spans="1:6" x14ac:dyDescent="0.3">
      <c r="A81" t="s">
        <v>135</v>
      </c>
      <c r="B81" t="s">
        <v>56</v>
      </c>
      <c r="C81" s="7">
        <v>4</v>
      </c>
      <c r="D81" s="7">
        <v>120</v>
      </c>
      <c r="E81" s="7">
        <v>4</v>
      </c>
      <c r="F81" s="7">
        <v>120</v>
      </c>
    </row>
    <row r="82" spans="1:6" x14ac:dyDescent="0.3">
      <c r="A82" t="s">
        <v>86</v>
      </c>
      <c r="B82" t="s">
        <v>56</v>
      </c>
      <c r="C82" s="7">
        <v>2</v>
      </c>
      <c r="D82" s="7">
        <v>60</v>
      </c>
      <c r="E82" s="7">
        <v>2</v>
      </c>
      <c r="F82" s="7">
        <v>60</v>
      </c>
    </row>
    <row r="83" spans="1:6" x14ac:dyDescent="0.3">
      <c r="A83" t="s">
        <v>69</v>
      </c>
      <c r="B83" t="s">
        <v>56</v>
      </c>
      <c r="C83" s="7">
        <v>1</v>
      </c>
      <c r="D83" s="7">
        <v>30</v>
      </c>
      <c r="E83" s="7">
        <v>1</v>
      </c>
      <c r="F83" s="7">
        <v>30</v>
      </c>
    </row>
    <row r="84" spans="1:6" x14ac:dyDescent="0.3">
      <c r="A84" t="s">
        <v>276</v>
      </c>
      <c r="B84" t="s">
        <v>51</v>
      </c>
      <c r="C84" s="7">
        <v>1</v>
      </c>
      <c r="D84" s="7">
        <v>30</v>
      </c>
      <c r="E84" s="7">
        <v>1</v>
      </c>
      <c r="F84" s="7">
        <v>30</v>
      </c>
    </row>
    <row r="85" spans="1:6" x14ac:dyDescent="0.3">
      <c r="A85" t="s">
        <v>32</v>
      </c>
      <c r="B85" t="s">
        <v>51</v>
      </c>
      <c r="C85" s="7">
        <v>2</v>
      </c>
      <c r="D85" s="7">
        <v>60</v>
      </c>
      <c r="E85" s="7">
        <v>2</v>
      </c>
      <c r="F85" s="7">
        <v>60</v>
      </c>
    </row>
    <row r="86" spans="1:6" x14ac:dyDescent="0.3">
      <c r="A86" t="s">
        <v>36</v>
      </c>
      <c r="B86" t="s">
        <v>51</v>
      </c>
      <c r="C86" s="7">
        <v>4</v>
      </c>
      <c r="D86" s="7">
        <v>120</v>
      </c>
      <c r="E86" s="7">
        <v>4</v>
      </c>
      <c r="F86" s="7">
        <v>120</v>
      </c>
    </row>
    <row r="87" spans="1:6" x14ac:dyDescent="0.3">
      <c r="A87" t="s">
        <v>83</v>
      </c>
      <c r="B87" t="s">
        <v>51</v>
      </c>
      <c r="C87" s="7">
        <v>1</v>
      </c>
      <c r="D87" s="7">
        <v>30</v>
      </c>
      <c r="E87" s="7">
        <v>1</v>
      </c>
      <c r="F87" s="7">
        <v>30</v>
      </c>
    </row>
    <row r="88" spans="1:6" x14ac:dyDescent="0.3">
      <c r="A88" t="s">
        <v>332</v>
      </c>
      <c r="B88" t="s">
        <v>51</v>
      </c>
      <c r="C88" s="7">
        <v>1</v>
      </c>
      <c r="D88" s="7">
        <v>30</v>
      </c>
      <c r="E88" s="7">
        <v>1</v>
      </c>
      <c r="F88" s="7">
        <v>30</v>
      </c>
    </row>
    <row r="89" spans="1:6" x14ac:dyDescent="0.3">
      <c r="A89" t="s">
        <v>143</v>
      </c>
      <c r="B89" t="s">
        <v>51</v>
      </c>
      <c r="C89" s="7">
        <v>2.25</v>
      </c>
      <c r="D89" s="7">
        <v>67.5</v>
      </c>
      <c r="E89" s="7">
        <v>2.25</v>
      </c>
      <c r="F89" s="7">
        <v>67.5</v>
      </c>
    </row>
    <row r="90" spans="1:6" x14ac:dyDescent="0.3">
      <c r="A90" t="s">
        <v>170</v>
      </c>
      <c r="B90" t="s">
        <v>51</v>
      </c>
      <c r="C90" s="7">
        <v>6</v>
      </c>
      <c r="D90" s="7">
        <v>180</v>
      </c>
      <c r="E90" s="7">
        <v>6</v>
      </c>
      <c r="F90" s="7">
        <v>180</v>
      </c>
    </row>
    <row r="91" spans="1:6" x14ac:dyDescent="0.3">
      <c r="A91" t="s">
        <v>188</v>
      </c>
      <c r="B91" t="s">
        <v>51</v>
      </c>
      <c r="C91" s="7">
        <v>10</v>
      </c>
      <c r="D91" s="7">
        <v>300</v>
      </c>
      <c r="E91" s="7">
        <v>10</v>
      </c>
      <c r="F91" s="7">
        <v>300</v>
      </c>
    </row>
    <row r="92" spans="1:6" x14ac:dyDescent="0.3">
      <c r="A92" t="s">
        <v>54</v>
      </c>
      <c r="B92" t="s">
        <v>51</v>
      </c>
      <c r="C92" s="7">
        <v>8</v>
      </c>
      <c r="D92" s="7">
        <v>240</v>
      </c>
      <c r="E92" s="7">
        <v>8</v>
      </c>
      <c r="F92" s="7">
        <v>240</v>
      </c>
    </row>
    <row r="93" spans="1:6" x14ac:dyDescent="0.3">
      <c r="A93" t="s">
        <v>122</v>
      </c>
      <c r="B93" t="s">
        <v>51</v>
      </c>
      <c r="C93" s="7">
        <v>2</v>
      </c>
      <c r="D93" s="7">
        <v>60</v>
      </c>
      <c r="E93" s="7">
        <v>2</v>
      </c>
      <c r="F93" s="7">
        <v>60</v>
      </c>
    </row>
    <row r="94" spans="1:6" x14ac:dyDescent="0.3">
      <c r="A94" t="s">
        <v>105</v>
      </c>
      <c r="B94" t="s">
        <v>51</v>
      </c>
      <c r="C94" s="7">
        <v>2</v>
      </c>
      <c r="D94" s="7">
        <v>60</v>
      </c>
      <c r="E94" s="7">
        <v>2</v>
      </c>
      <c r="F94" s="7">
        <v>60</v>
      </c>
    </row>
    <row r="95" spans="1:6" x14ac:dyDescent="0.3">
      <c r="A95" t="s">
        <v>137</v>
      </c>
      <c r="B95" t="s">
        <v>51</v>
      </c>
      <c r="C95" s="7">
        <v>4</v>
      </c>
      <c r="D95" s="7">
        <v>120</v>
      </c>
      <c r="E95" s="7">
        <v>4</v>
      </c>
      <c r="F95" s="7">
        <v>120</v>
      </c>
    </row>
    <row r="96" spans="1:6" x14ac:dyDescent="0.3">
      <c r="A96" t="s">
        <v>106</v>
      </c>
      <c r="B96" t="s">
        <v>51</v>
      </c>
      <c r="C96" s="7">
        <v>1.5</v>
      </c>
      <c r="D96" s="7">
        <v>45</v>
      </c>
      <c r="E96" s="7">
        <v>1.5</v>
      </c>
      <c r="F96" s="7">
        <v>45</v>
      </c>
    </row>
    <row r="97" spans="1:6" x14ac:dyDescent="0.3">
      <c r="A97" t="s">
        <v>71</v>
      </c>
      <c r="B97" t="s">
        <v>51</v>
      </c>
      <c r="C97" s="7">
        <v>1</v>
      </c>
      <c r="D97" s="7">
        <v>30</v>
      </c>
      <c r="E97" s="7">
        <v>1</v>
      </c>
      <c r="F97" s="7">
        <v>30</v>
      </c>
    </row>
    <row r="98" spans="1:6" x14ac:dyDescent="0.3">
      <c r="A98" t="s">
        <v>263</v>
      </c>
      <c r="B98" t="s">
        <v>51</v>
      </c>
      <c r="C98" s="7">
        <v>1</v>
      </c>
      <c r="D98" s="7">
        <v>30</v>
      </c>
      <c r="E98" s="7">
        <v>1</v>
      </c>
      <c r="F98" s="7">
        <v>30</v>
      </c>
    </row>
    <row r="99" spans="1:6" x14ac:dyDescent="0.3">
      <c r="A99" t="s">
        <v>107</v>
      </c>
      <c r="B99" t="s">
        <v>51</v>
      </c>
      <c r="C99" s="7">
        <v>1</v>
      </c>
      <c r="D99" s="7">
        <v>30</v>
      </c>
      <c r="E99" s="7">
        <v>1</v>
      </c>
      <c r="F99" s="7">
        <v>30</v>
      </c>
    </row>
    <row r="100" spans="1:6" x14ac:dyDescent="0.3">
      <c r="A100" t="s">
        <v>104</v>
      </c>
      <c r="B100" t="s">
        <v>51</v>
      </c>
      <c r="C100" s="7">
        <v>6</v>
      </c>
      <c r="D100" s="7">
        <v>180</v>
      </c>
      <c r="E100" s="7">
        <v>6</v>
      </c>
      <c r="F100" s="7">
        <v>180</v>
      </c>
    </row>
    <row r="101" spans="1:6" x14ac:dyDescent="0.3">
      <c r="A101" t="s">
        <v>30</v>
      </c>
      <c r="B101" t="s">
        <v>52</v>
      </c>
      <c r="C101" s="7">
        <v>5</v>
      </c>
      <c r="D101" s="7">
        <v>150</v>
      </c>
      <c r="E101" s="7">
        <v>5</v>
      </c>
      <c r="F101" s="7">
        <v>150</v>
      </c>
    </row>
    <row r="102" spans="1:6" x14ac:dyDescent="0.3">
      <c r="B102" t="s">
        <v>51</v>
      </c>
      <c r="C102" s="7">
        <v>2</v>
      </c>
      <c r="D102" s="7">
        <v>60</v>
      </c>
      <c r="E102" s="7">
        <v>2</v>
      </c>
      <c r="F102" s="7">
        <v>60</v>
      </c>
    </row>
    <row r="103" spans="1:6" x14ac:dyDescent="0.3">
      <c r="A103" t="s">
        <v>88</v>
      </c>
      <c r="B103" t="s">
        <v>51</v>
      </c>
      <c r="C103" s="7">
        <v>21</v>
      </c>
      <c r="D103" s="7">
        <v>630</v>
      </c>
      <c r="E103" s="7">
        <v>21</v>
      </c>
      <c r="F103" s="7">
        <v>630</v>
      </c>
    </row>
    <row r="104" spans="1:6" x14ac:dyDescent="0.3">
      <c r="A104" t="s">
        <v>248</v>
      </c>
      <c r="B104" t="s">
        <v>119</v>
      </c>
      <c r="C104" s="7">
        <v>1</v>
      </c>
      <c r="D104" s="7">
        <v>30</v>
      </c>
      <c r="E104" s="7">
        <v>1</v>
      </c>
      <c r="F104" s="7">
        <v>30</v>
      </c>
    </row>
    <row r="105" spans="1:6" x14ac:dyDescent="0.3">
      <c r="A105" t="s">
        <v>187</v>
      </c>
      <c r="B105" t="s">
        <v>51</v>
      </c>
      <c r="C105" s="7">
        <v>2</v>
      </c>
      <c r="D105" s="7">
        <v>60</v>
      </c>
      <c r="E105" s="7">
        <v>2</v>
      </c>
      <c r="F105" s="7">
        <v>60</v>
      </c>
    </row>
    <row r="106" spans="1:6" x14ac:dyDescent="0.3">
      <c r="A106" t="s">
        <v>101</v>
      </c>
      <c r="B106" t="s">
        <v>81</v>
      </c>
      <c r="C106" s="7">
        <v>5</v>
      </c>
      <c r="D106" s="7">
        <v>150</v>
      </c>
      <c r="E106" s="7">
        <v>5</v>
      </c>
      <c r="F106" s="7">
        <v>150</v>
      </c>
    </row>
    <row r="107" spans="1:6" x14ac:dyDescent="0.3">
      <c r="A107" t="s">
        <v>350</v>
      </c>
      <c r="B107" t="s">
        <v>51</v>
      </c>
      <c r="C107" s="7">
        <v>2</v>
      </c>
      <c r="D107" s="7">
        <v>60</v>
      </c>
      <c r="E107" s="7">
        <v>2</v>
      </c>
      <c r="F107" s="7">
        <v>60</v>
      </c>
    </row>
    <row r="108" spans="1:6" x14ac:dyDescent="0.3">
      <c r="A108" t="s">
        <v>285</v>
      </c>
      <c r="B108" t="s">
        <v>51</v>
      </c>
      <c r="C108" s="7">
        <v>1</v>
      </c>
      <c r="D108" s="7">
        <v>30</v>
      </c>
      <c r="E108" s="7">
        <v>1</v>
      </c>
      <c r="F108" s="7">
        <v>30</v>
      </c>
    </row>
    <row r="109" spans="1:6" x14ac:dyDescent="0.3">
      <c r="A109" t="s">
        <v>134</v>
      </c>
      <c r="B109" t="s">
        <v>51</v>
      </c>
      <c r="C109" s="7">
        <v>3.25</v>
      </c>
      <c r="D109" s="7">
        <v>97.5</v>
      </c>
      <c r="E109" s="7">
        <v>3.25</v>
      </c>
      <c r="F109" s="7">
        <v>97.5</v>
      </c>
    </row>
    <row r="110" spans="1:6" x14ac:dyDescent="0.3">
      <c r="A110" t="s">
        <v>154</v>
      </c>
      <c r="B110" t="s">
        <v>53</v>
      </c>
      <c r="C110" s="7">
        <v>1</v>
      </c>
      <c r="D110" s="7">
        <v>30</v>
      </c>
      <c r="E110" s="7">
        <v>1</v>
      </c>
      <c r="F110" s="7">
        <v>30</v>
      </c>
    </row>
    <row r="111" spans="1:6" x14ac:dyDescent="0.3">
      <c r="A111" t="s">
        <v>295</v>
      </c>
      <c r="B111" t="s">
        <v>51</v>
      </c>
      <c r="C111" s="7">
        <v>1.5</v>
      </c>
      <c r="D111" s="7">
        <v>45</v>
      </c>
      <c r="E111" s="7">
        <v>1.5</v>
      </c>
      <c r="F111" s="7">
        <v>45</v>
      </c>
    </row>
    <row r="112" spans="1:6" x14ac:dyDescent="0.3">
      <c r="A112" t="s">
        <v>98</v>
      </c>
      <c r="B112" t="s">
        <v>51</v>
      </c>
      <c r="C112" s="7">
        <v>2</v>
      </c>
      <c r="D112" s="7">
        <v>60</v>
      </c>
      <c r="E112" s="7">
        <v>2</v>
      </c>
      <c r="F112" s="7">
        <v>60</v>
      </c>
    </row>
    <row r="113" spans="1:6" x14ac:dyDescent="0.3">
      <c r="A113" t="s">
        <v>171</v>
      </c>
      <c r="B113" t="s">
        <v>51</v>
      </c>
      <c r="C113" s="7">
        <v>2.5</v>
      </c>
      <c r="D113" s="7">
        <v>75</v>
      </c>
      <c r="E113" s="7">
        <v>2.5</v>
      </c>
      <c r="F113" s="7">
        <v>75</v>
      </c>
    </row>
    <row r="114" spans="1:6" x14ac:dyDescent="0.3">
      <c r="A114" t="s">
        <v>38</v>
      </c>
      <c r="B114" t="s">
        <v>51</v>
      </c>
      <c r="C114" s="7">
        <v>20.25</v>
      </c>
      <c r="D114" s="7">
        <v>607.5</v>
      </c>
      <c r="E114" s="7">
        <v>20.25</v>
      </c>
      <c r="F114" s="7">
        <v>607.5</v>
      </c>
    </row>
    <row r="115" spans="1:6" x14ac:dyDescent="0.3">
      <c r="A115" t="s">
        <v>186</v>
      </c>
      <c r="B115" t="s">
        <v>56</v>
      </c>
      <c r="C115" s="7">
        <v>28</v>
      </c>
      <c r="D115" s="7">
        <v>840</v>
      </c>
      <c r="E115" s="7">
        <v>28</v>
      </c>
      <c r="F115" s="7">
        <v>840</v>
      </c>
    </row>
    <row r="116" spans="1:6" x14ac:dyDescent="0.3">
      <c r="A116" t="s">
        <v>72</v>
      </c>
      <c r="B116" t="s">
        <v>56</v>
      </c>
      <c r="C116" s="7">
        <v>41</v>
      </c>
      <c r="D116" s="7">
        <v>1230</v>
      </c>
      <c r="E116" s="7">
        <v>41</v>
      </c>
      <c r="F116" s="7">
        <v>1230</v>
      </c>
    </row>
    <row r="117" spans="1:6" x14ac:dyDescent="0.3">
      <c r="A117" t="s">
        <v>288</v>
      </c>
      <c r="B117" t="s">
        <v>51</v>
      </c>
      <c r="C117" s="7">
        <v>1</v>
      </c>
      <c r="D117" s="7">
        <v>30</v>
      </c>
      <c r="E117" s="7">
        <v>1</v>
      </c>
      <c r="F117" s="7">
        <v>30</v>
      </c>
    </row>
    <row r="118" spans="1:6" x14ac:dyDescent="0.3">
      <c r="A118" t="s">
        <v>225</v>
      </c>
      <c r="B118" t="s">
        <v>226</v>
      </c>
      <c r="C118" s="7">
        <v>2</v>
      </c>
      <c r="D118" s="7">
        <v>60</v>
      </c>
      <c r="E118" s="7">
        <v>2</v>
      </c>
      <c r="F118" s="7">
        <v>60</v>
      </c>
    </row>
    <row r="119" spans="1:6" x14ac:dyDescent="0.3">
      <c r="A119" t="s">
        <v>133</v>
      </c>
      <c r="B119" t="s">
        <v>56</v>
      </c>
      <c r="C119" s="7">
        <v>32</v>
      </c>
      <c r="D119" s="7">
        <v>960</v>
      </c>
      <c r="E119" s="7">
        <v>32</v>
      </c>
      <c r="F119" s="7">
        <v>960</v>
      </c>
    </row>
    <row r="120" spans="1:6" x14ac:dyDescent="0.3">
      <c r="A120" t="s">
        <v>223</v>
      </c>
      <c r="B120" t="s">
        <v>51</v>
      </c>
      <c r="C120" s="7">
        <v>5.5</v>
      </c>
      <c r="D120" s="7">
        <v>165</v>
      </c>
      <c r="E120" s="7">
        <v>5.5</v>
      </c>
      <c r="F120" s="7">
        <v>165</v>
      </c>
    </row>
    <row r="121" spans="1:6" x14ac:dyDescent="0.3">
      <c r="A121" t="s">
        <v>79</v>
      </c>
      <c r="B121" t="s">
        <v>51</v>
      </c>
      <c r="C121" s="7">
        <v>2</v>
      </c>
      <c r="D121" s="7">
        <v>60</v>
      </c>
      <c r="E121" s="7">
        <v>2</v>
      </c>
      <c r="F121" s="7">
        <v>60</v>
      </c>
    </row>
    <row r="122" spans="1:6" x14ac:dyDescent="0.3">
      <c r="A122" t="s">
        <v>197</v>
      </c>
      <c r="B122" t="s">
        <v>56</v>
      </c>
      <c r="C122" s="7">
        <v>2</v>
      </c>
      <c r="D122" s="7">
        <v>60</v>
      </c>
      <c r="E122" s="7">
        <v>2</v>
      </c>
      <c r="F122" s="7">
        <v>60</v>
      </c>
    </row>
    <row r="123" spans="1:6" x14ac:dyDescent="0.3">
      <c r="A123" t="s">
        <v>258</v>
      </c>
      <c r="B123" t="s">
        <v>51</v>
      </c>
      <c r="C123" s="7">
        <v>2</v>
      </c>
      <c r="D123" s="7">
        <v>60</v>
      </c>
      <c r="E123" s="7">
        <v>2</v>
      </c>
      <c r="F123" s="7">
        <v>60</v>
      </c>
    </row>
    <row r="124" spans="1:6" x14ac:dyDescent="0.3">
      <c r="A124" t="s">
        <v>60</v>
      </c>
      <c r="B124" t="s">
        <v>51</v>
      </c>
      <c r="C124" s="7">
        <v>0.5</v>
      </c>
      <c r="D124" s="7">
        <v>15</v>
      </c>
      <c r="E124" s="7">
        <v>0.5</v>
      </c>
      <c r="F124" s="7">
        <v>15</v>
      </c>
    </row>
    <row r="125" spans="1:6" x14ac:dyDescent="0.3">
      <c r="A125" t="s">
        <v>169</v>
      </c>
      <c r="B125" t="s">
        <v>51</v>
      </c>
      <c r="C125" s="7">
        <v>2</v>
      </c>
      <c r="D125" s="7">
        <v>60</v>
      </c>
      <c r="E125" s="7">
        <v>2</v>
      </c>
      <c r="F125" s="7">
        <v>60</v>
      </c>
    </row>
    <row r="126" spans="1:6" x14ac:dyDescent="0.3">
      <c r="A126" t="s">
        <v>257</v>
      </c>
      <c r="B126" t="s">
        <v>51</v>
      </c>
      <c r="C126" s="7">
        <v>2</v>
      </c>
      <c r="D126" s="7">
        <v>60</v>
      </c>
      <c r="E126" s="7">
        <v>2</v>
      </c>
      <c r="F126" s="7">
        <v>60</v>
      </c>
    </row>
    <row r="127" spans="1:6" x14ac:dyDescent="0.3">
      <c r="A127" t="s">
        <v>66</v>
      </c>
      <c r="B127" t="s">
        <v>51</v>
      </c>
      <c r="C127" s="7">
        <v>2</v>
      </c>
      <c r="D127" s="7">
        <v>60</v>
      </c>
      <c r="E127" s="7">
        <v>2</v>
      </c>
      <c r="F127" s="7">
        <v>60</v>
      </c>
    </row>
    <row r="128" spans="1:6" x14ac:dyDescent="0.3">
      <c r="A128" t="s">
        <v>70</v>
      </c>
      <c r="B128" t="s">
        <v>51</v>
      </c>
      <c r="C128" s="7">
        <v>0.75</v>
      </c>
      <c r="D128" s="7">
        <v>22.5</v>
      </c>
      <c r="E128" s="7">
        <v>0.75</v>
      </c>
      <c r="F128" s="7">
        <v>22.5</v>
      </c>
    </row>
    <row r="129" spans="1:6" x14ac:dyDescent="0.3">
      <c r="A129" t="s">
        <v>108</v>
      </c>
      <c r="B129" t="s">
        <v>51</v>
      </c>
      <c r="C129" s="7">
        <v>4</v>
      </c>
      <c r="D129" s="7">
        <v>120</v>
      </c>
      <c r="E129" s="7">
        <v>4</v>
      </c>
      <c r="F129" s="7">
        <v>120</v>
      </c>
    </row>
    <row r="130" spans="1:6" x14ac:dyDescent="0.3">
      <c r="A130" t="s">
        <v>123</v>
      </c>
      <c r="B130" t="s">
        <v>51</v>
      </c>
      <c r="C130" s="7">
        <v>0.5</v>
      </c>
      <c r="D130" s="7">
        <v>15</v>
      </c>
      <c r="E130" s="7">
        <v>0.5</v>
      </c>
      <c r="F130" s="7">
        <v>15</v>
      </c>
    </row>
    <row r="131" spans="1:6" x14ac:dyDescent="0.3">
      <c r="A131" t="s">
        <v>33</v>
      </c>
      <c r="B131" t="s">
        <v>51</v>
      </c>
      <c r="C131" s="7">
        <v>2</v>
      </c>
      <c r="D131" s="7">
        <v>60</v>
      </c>
      <c r="E131" s="7">
        <v>2</v>
      </c>
      <c r="F131" s="7">
        <v>60</v>
      </c>
    </row>
    <row r="132" spans="1:6" x14ac:dyDescent="0.3">
      <c r="A132" t="s">
        <v>34</v>
      </c>
      <c r="B132" t="s">
        <v>51</v>
      </c>
      <c r="C132" s="7">
        <v>2</v>
      </c>
      <c r="D132" s="7">
        <v>60</v>
      </c>
      <c r="E132" s="7">
        <v>2</v>
      </c>
      <c r="F132" s="7">
        <v>60</v>
      </c>
    </row>
    <row r="133" spans="1:6" x14ac:dyDescent="0.3">
      <c r="A133" t="s">
        <v>198</v>
      </c>
      <c r="B133" t="s">
        <v>51</v>
      </c>
      <c r="C133" s="7">
        <v>2</v>
      </c>
      <c r="D133" s="7">
        <v>60</v>
      </c>
      <c r="E133" s="7">
        <v>2</v>
      </c>
      <c r="F133" s="7">
        <v>60</v>
      </c>
    </row>
    <row r="134" spans="1:6" x14ac:dyDescent="0.3">
      <c r="A134" t="s">
        <v>140</v>
      </c>
      <c r="B134" t="s">
        <v>51</v>
      </c>
      <c r="C134" s="7">
        <v>0.75</v>
      </c>
      <c r="D134" s="7">
        <v>22.5</v>
      </c>
      <c r="E134" s="7">
        <v>0.75</v>
      </c>
      <c r="F134" s="7">
        <v>22.5</v>
      </c>
    </row>
    <row r="135" spans="1:6" x14ac:dyDescent="0.3">
      <c r="A135" t="s">
        <v>151</v>
      </c>
      <c r="B135" t="s">
        <v>53</v>
      </c>
      <c r="C135" s="7">
        <v>2</v>
      </c>
      <c r="D135" s="7">
        <v>60</v>
      </c>
      <c r="E135" s="7">
        <v>2</v>
      </c>
      <c r="F135" s="7">
        <v>60</v>
      </c>
    </row>
    <row r="136" spans="1:6" x14ac:dyDescent="0.3">
      <c r="A136" t="s">
        <v>296</v>
      </c>
      <c r="B136" t="s">
        <v>51</v>
      </c>
      <c r="C136" s="7">
        <v>1</v>
      </c>
      <c r="D136" s="7">
        <v>30</v>
      </c>
      <c r="E136" s="7">
        <v>1</v>
      </c>
      <c r="F136" s="7">
        <v>30</v>
      </c>
    </row>
    <row r="137" spans="1:6" x14ac:dyDescent="0.3">
      <c r="A137" t="s">
        <v>199</v>
      </c>
      <c r="B137" t="s">
        <v>51</v>
      </c>
      <c r="C137" s="7">
        <v>2</v>
      </c>
      <c r="D137" s="7">
        <v>60</v>
      </c>
      <c r="E137" s="7">
        <v>2</v>
      </c>
      <c r="F137" s="7">
        <v>60</v>
      </c>
    </row>
    <row r="138" spans="1:6" x14ac:dyDescent="0.3">
      <c r="A138" t="s">
        <v>308</v>
      </c>
      <c r="B138" t="s">
        <v>56</v>
      </c>
      <c r="C138" s="7">
        <v>30</v>
      </c>
      <c r="D138" s="7">
        <v>900</v>
      </c>
      <c r="E138" s="7">
        <v>30</v>
      </c>
      <c r="F138" s="7">
        <v>900</v>
      </c>
    </row>
    <row r="139" spans="1:6" x14ac:dyDescent="0.3">
      <c r="A139" t="s">
        <v>211</v>
      </c>
      <c r="B139" t="s">
        <v>51</v>
      </c>
      <c r="C139" s="7">
        <v>1</v>
      </c>
      <c r="D139" s="7">
        <v>30</v>
      </c>
      <c r="E139" s="7">
        <v>1</v>
      </c>
      <c r="F139" s="7">
        <v>30</v>
      </c>
    </row>
    <row r="140" spans="1:6" x14ac:dyDescent="0.3">
      <c r="A140" t="s">
        <v>155</v>
      </c>
      <c r="B140" t="s">
        <v>51</v>
      </c>
      <c r="C140" s="7">
        <v>1</v>
      </c>
      <c r="D140" s="7">
        <v>30</v>
      </c>
      <c r="E140" s="7">
        <v>1</v>
      </c>
      <c r="F140" s="7">
        <v>30</v>
      </c>
    </row>
    <row r="141" spans="1:6" x14ac:dyDescent="0.3">
      <c r="A141" t="s">
        <v>334</v>
      </c>
      <c r="B141" t="s">
        <v>53</v>
      </c>
      <c r="C141" s="7">
        <v>2</v>
      </c>
      <c r="D141" s="7">
        <v>60</v>
      </c>
      <c r="E141" s="7">
        <v>2</v>
      </c>
      <c r="F141" s="7">
        <v>60</v>
      </c>
    </row>
    <row r="142" spans="1:6" x14ac:dyDescent="0.3">
      <c r="A142" t="s">
        <v>245</v>
      </c>
      <c r="B142" t="s">
        <v>246</v>
      </c>
      <c r="C142" s="7">
        <v>2</v>
      </c>
      <c r="D142" s="7">
        <v>60</v>
      </c>
      <c r="E142" s="7">
        <v>2</v>
      </c>
      <c r="F142" s="7">
        <v>60</v>
      </c>
    </row>
    <row r="143" spans="1:6" x14ac:dyDescent="0.3">
      <c r="A143" t="s">
        <v>85</v>
      </c>
      <c r="B143" t="s">
        <v>51</v>
      </c>
      <c r="C143" s="7">
        <v>2</v>
      </c>
      <c r="D143" s="7">
        <v>60</v>
      </c>
      <c r="E143" s="7">
        <v>2</v>
      </c>
      <c r="F143" s="7">
        <v>60</v>
      </c>
    </row>
    <row r="144" spans="1:6" x14ac:dyDescent="0.3">
      <c r="A144" t="s">
        <v>43</v>
      </c>
      <c r="C144" s="7">
        <v>583.25</v>
      </c>
      <c r="D144" s="7">
        <v>17497.5</v>
      </c>
      <c r="E144" s="7">
        <v>583.25</v>
      </c>
      <c r="F144" s="7">
        <v>17497.5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7026-FF0F-4D4C-AC7A-1689055457F7}">
  <dimension ref="A1:C31"/>
  <sheetViews>
    <sheetView workbookViewId="0">
      <selection activeCell="A4" sqref="A4"/>
    </sheetView>
  </sheetViews>
  <sheetFormatPr baseColWidth="10" defaultRowHeight="14.4" x14ac:dyDescent="0.3"/>
  <cols>
    <col min="1" max="1" width="34.109375" bestFit="1" customWidth="1"/>
    <col min="2" max="2" width="18.5546875" bestFit="1" customWidth="1"/>
    <col min="3" max="4" width="20.44140625" bestFit="1" customWidth="1"/>
    <col min="5" max="7" width="3" bestFit="1" customWidth="1"/>
    <col min="8" max="8" width="4" bestFit="1" customWidth="1"/>
    <col min="9" max="9" width="3" bestFit="1" customWidth="1"/>
    <col min="10" max="11" width="5" bestFit="1" customWidth="1"/>
    <col min="12" max="12" width="3" bestFit="1" customWidth="1"/>
    <col min="13" max="13" width="12.5546875" bestFit="1" customWidth="1"/>
  </cols>
  <sheetData>
    <row r="1" spans="1:3" x14ac:dyDescent="0.3">
      <c r="A1" s="5" t="s">
        <v>10</v>
      </c>
      <c r="B1" t="s">
        <v>89</v>
      </c>
    </row>
    <row r="3" spans="1:3" x14ac:dyDescent="0.3">
      <c r="B3" s="5" t="s">
        <v>355</v>
      </c>
    </row>
    <row r="4" spans="1:3" x14ac:dyDescent="0.3">
      <c r="A4" s="5" t="s">
        <v>0</v>
      </c>
      <c r="B4" t="s">
        <v>359</v>
      </c>
      <c r="C4" t="s">
        <v>357</v>
      </c>
    </row>
    <row r="5" spans="1:3" x14ac:dyDescent="0.3">
      <c r="A5" t="s">
        <v>44</v>
      </c>
      <c r="B5" s="7">
        <v>33.25</v>
      </c>
      <c r="C5" s="7">
        <v>787.5</v>
      </c>
    </row>
    <row r="6" spans="1:3" x14ac:dyDescent="0.3">
      <c r="A6" t="s">
        <v>20</v>
      </c>
      <c r="B6" s="7">
        <v>18</v>
      </c>
      <c r="C6" s="7">
        <v>525</v>
      </c>
    </row>
    <row r="7" spans="1:3" x14ac:dyDescent="0.3">
      <c r="A7" t="s">
        <v>75</v>
      </c>
      <c r="B7" s="7">
        <v>12</v>
      </c>
      <c r="C7" s="7">
        <v>330</v>
      </c>
    </row>
    <row r="8" spans="1:3" x14ac:dyDescent="0.3">
      <c r="A8" t="s">
        <v>90</v>
      </c>
      <c r="B8" s="7">
        <v>2</v>
      </c>
      <c r="C8" s="7">
        <v>60</v>
      </c>
    </row>
    <row r="9" spans="1:3" x14ac:dyDescent="0.3">
      <c r="A9" t="s">
        <v>94</v>
      </c>
      <c r="B9" s="7">
        <v>22.5</v>
      </c>
      <c r="C9" s="7">
        <v>675</v>
      </c>
    </row>
    <row r="10" spans="1:3" x14ac:dyDescent="0.3">
      <c r="A10" t="s">
        <v>110</v>
      </c>
      <c r="B10" s="7">
        <v>7.5</v>
      </c>
      <c r="C10" s="7">
        <v>225</v>
      </c>
    </row>
    <row r="11" spans="1:3" x14ac:dyDescent="0.3">
      <c r="A11" t="s">
        <v>124</v>
      </c>
      <c r="B11" s="7">
        <v>72.5</v>
      </c>
      <c r="C11" s="7">
        <v>2130</v>
      </c>
    </row>
    <row r="12" spans="1:3" x14ac:dyDescent="0.3">
      <c r="A12" t="s">
        <v>145</v>
      </c>
      <c r="B12" s="7">
        <v>14</v>
      </c>
      <c r="C12" s="7">
        <v>330</v>
      </c>
    </row>
    <row r="13" spans="1:3" x14ac:dyDescent="0.3">
      <c r="A13" t="s">
        <v>160</v>
      </c>
      <c r="B13" s="7">
        <v>39</v>
      </c>
      <c r="C13" s="7">
        <v>810</v>
      </c>
    </row>
    <row r="14" spans="1:3" x14ac:dyDescent="0.3">
      <c r="A14" t="s">
        <v>190</v>
      </c>
      <c r="B14" s="7">
        <v>89.25</v>
      </c>
      <c r="C14" s="7">
        <v>2677.5</v>
      </c>
    </row>
    <row r="15" spans="1:3" x14ac:dyDescent="0.3">
      <c r="A15" t="s">
        <v>206</v>
      </c>
      <c r="B15" s="7">
        <v>32</v>
      </c>
      <c r="C15" s="7">
        <v>960</v>
      </c>
    </row>
    <row r="16" spans="1:3" x14ac:dyDescent="0.3">
      <c r="A16" t="s">
        <v>215</v>
      </c>
      <c r="B16" s="7">
        <v>27.5</v>
      </c>
      <c r="C16" s="7">
        <v>615</v>
      </c>
    </row>
    <row r="17" spans="1:3" x14ac:dyDescent="0.3">
      <c r="A17" t="s">
        <v>234</v>
      </c>
      <c r="B17" s="7">
        <v>2</v>
      </c>
      <c r="C17" s="7">
        <v>60</v>
      </c>
    </row>
    <row r="18" spans="1:3" x14ac:dyDescent="0.3">
      <c r="A18" t="s">
        <v>241</v>
      </c>
      <c r="B18" s="7">
        <v>15</v>
      </c>
      <c r="C18" s="7">
        <v>420</v>
      </c>
    </row>
    <row r="19" spans="1:3" x14ac:dyDescent="0.3">
      <c r="A19" t="s">
        <v>253</v>
      </c>
      <c r="B19" s="7">
        <v>53.5</v>
      </c>
      <c r="C19" s="7">
        <v>1545</v>
      </c>
    </row>
    <row r="20" spans="1:3" x14ac:dyDescent="0.3">
      <c r="A20" t="s">
        <v>265</v>
      </c>
      <c r="B20" s="7">
        <v>4.5</v>
      </c>
      <c r="C20" s="7">
        <v>105</v>
      </c>
    </row>
    <row r="21" spans="1:3" x14ac:dyDescent="0.3">
      <c r="A21" t="s">
        <v>272</v>
      </c>
      <c r="B21" s="7">
        <v>12.5</v>
      </c>
      <c r="C21" s="7">
        <v>345</v>
      </c>
    </row>
    <row r="22" spans="1:3" x14ac:dyDescent="0.3">
      <c r="A22" t="s">
        <v>278</v>
      </c>
      <c r="B22" s="7">
        <v>7.5</v>
      </c>
      <c r="C22" s="7">
        <v>225</v>
      </c>
    </row>
    <row r="23" spans="1:3" x14ac:dyDescent="0.3">
      <c r="A23" t="s">
        <v>290</v>
      </c>
      <c r="B23" s="7">
        <v>10.75</v>
      </c>
      <c r="C23" s="7">
        <v>292.5</v>
      </c>
    </row>
    <row r="24" spans="1:3" x14ac:dyDescent="0.3">
      <c r="A24" t="s">
        <v>298</v>
      </c>
      <c r="B24" s="7">
        <v>144.5</v>
      </c>
      <c r="C24" s="7">
        <v>540</v>
      </c>
    </row>
    <row r="25" spans="1:3" x14ac:dyDescent="0.3">
      <c r="A25" t="s">
        <v>312</v>
      </c>
      <c r="B25" s="7">
        <v>11</v>
      </c>
      <c r="C25" s="7">
        <v>270</v>
      </c>
    </row>
    <row r="26" spans="1:3" x14ac:dyDescent="0.3">
      <c r="A26" t="s">
        <v>327</v>
      </c>
      <c r="B26" s="7">
        <v>79</v>
      </c>
      <c r="C26" s="7">
        <v>2340</v>
      </c>
    </row>
    <row r="27" spans="1:3" x14ac:dyDescent="0.3">
      <c r="A27" t="s">
        <v>321</v>
      </c>
      <c r="B27" s="7">
        <v>29</v>
      </c>
      <c r="C27" s="7">
        <v>540</v>
      </c>
    </row>
    <row r="28" spans="1:3" x14ac:dyDescent="0.3">
      <c r="A28" t="s">
        <v>328</v>
      </c>
      <c r="B28" s="7">
        <v>9</v>
      </c>
      <c r="C28" s="7">
        <v>210</v>
      </c>
    </row>
    <row r="29" spans="1:3" x14ac:dyDescent="0.3">
      <c r="A29" t="s">
        <v>338</v>
      </c>
      <c r="B29" s="7">
        <v>7</v>
      </c>
      <c r="C29" s="7">
        <v>210</v>
      </c>
    </row>
    <row r="30" spans="1:3" x14ac:dyDescent="0.3">
      <c r="A30" t="s">
        <v>344</v>
      </c>
      <c r="B30" s="7">
        <v>15</v>
      </c>
      <c r="C30" s="7">
        <v>270</v>
      </c>
    </row>
    <row r="31" spans="1:3" x14ac:dyDescent="0.3">
      <c r="A31" t="s">
        <v>43</v>
      </c>
      <c r="B31" s="7">
        <v>769.75</v>
      </c>
      <c r="C31" s="7">
        <v>17497.5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E017-4BF7-429A-BB32-CC07BCCF0509}">
  <dimension ref="A1:S363"/>
  <sheetViews>
    <sheetView tabSelected="1" workbookViewId="0">
      <pane ySplit="1" topLeftCell="A356" activePane="bottomLeft" state="frozen"/>
      <selection pane="bottomLeft" activeCell="L1" sqref="L1:N1048576"/>
    </sheetView>
  </sheetViews>
  <sheetFormatPr baseColWidth="10" defaultRowHeight="14.4" x14ac:dyDescent="0.3"/>
  <cols>
    <col min="1" max="1" width="37.33203125" bestFit="1" customWidth="1"/>
    <col min="2" max="2" width="10.6640625" bestFit="1" customWidth="1"/>
    <col min="3" max="3" width="14.5546875" bestFit="1" customWidth="1"/>
    <col min="4" max="4" width="10.44140625" bestFit="1" customWidth="1"/>
    <col min="5" max="5" width="12.44140625" bestFit="1" customWidth="1"/>
    <col min="6" max="6" width="54.33203125" bestFit="1" customWidth="1"/>
    <col min="7" max="7" width="13.109375" style="2" bestFit="1" customWidth="1"/>
    <col min="8" max="8" width="5.33203125" bestFit="1" customWidth="1"/>
    <col min="9" max="9" width="19.6640625" style="2" bestFit="1" customWidth="1"/>
    <col min="10" max="10" width="255.6640625" bestFit="1" customWidth="1"/>
    <col min="11" max="11" width="29.6640625" bestFit="1" customWidth="1"/>
    <col min="12" max="12" width="12.77734375" style="6" bestFit="1" customWidth="1"/>
    <col min="13" max="13" width="14.77734375" style="6" bestFit="1" customWidth="1"/>
    <col min="14" max="14" width="13.88671875" style="4" bestFit="1" customWidth="1"/>
    <col min="15" max="15" width="8.44140625" bestFit="1" customWidth="1"/>
    <col min="16" max="16" width="64.88671875" bestFit="1" customWidth="1"/>
    <col min="17" max="17" width="11.88671875" bestFit="1" customWidth="1"/>
    <col min="18" max="19" width="10.44140625" bestFit="1" customWidth="1"/>
    <col min="20" max="20" width="16.5546875" bestFit="1" customWidth="1"/>
    <col min="21" max="21" width="9.33203125" bestFit="1" customWidth="1"/>
    <col min="22" max="22" width="8.33203125" bestFit="1" customWidth="1"/>
    <col min="23" max="23" width="10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  <c r="J1" t="s">
        <v>9</v>
      </c>
      <c r="K1" t="s">
        <v>10</v>
      </c>
      <c r="L1" s="6" t="s">
        <v>353</v>
      </c>
      <c r="M1" s="6" t="s">
        <v>354</v>
      </c>
      <c r="N1" s="4" t="s">
        <v>50</v>
      </c>
      <c r="O1" t="s">
        <v>11</v>
      </c>
      <c r="P1" t="s">
        <v>12</v>
      </c>
      <c r="Q1" t="s">
        <v>28</v>
      </c>
      <c r="R1" t="s">
        <v>41</v>
      </c>
      <c r="S1" t="s">
        <v>42</v>
      </c>
    </row>
    <row r="2" spans="1:19" x14ac:dyDescent="0.3">
      <c r="A2" t="s">
        <v>20</v>
      </c>
      <c r="B2" t="s">
        <v>21</v>
      </c>
      <c r="C2" t="s">
        <v>22</v>
      </c>
      <c r="D2">
        <v>102</v>
      </c>
      <c r="E2" t="s">
        <v>23</v>
      </c>
      <c r="F2" t="s">
        <v>24</v>
      </c>
      <c r="G2" s="2">
        <v>45069</v>
      </c>
      <c r="H2">
        <v>51</v>
      </c>
      <c r="I2" s="2">
        <v>27490</v>
      </c>
      <c r="J2" t="s">
        <v>25</v>
      </c>
      <c r="K2" t="s">
        <v>26</v>
      </c>
      <c r="L2" s="6">
        <v>1</v>
      </c>
      <c r="M2" s="6">
        <f>L2*30</f>
        <v>30</v>
      </c>
      <c r="N2" s="4" t="s">
        <v>51</v>
      </c>
      <c r="O2" s="3">
        <v>0.29166666666666669</v>
      </c>
      <c r="P2" t="s">
        <v>27</v>
      </c>
      <c r="Q2" t="s">
        <v>29</v>
      </c>
    </row>
    <row r="3" spans="1:19" x14ac:dyDescent="0.3">
      <c r="A3" t="s">
        <v>20</v>
      </c>
      <c r="B3" t="s">
        <v>21</v>
      </c>
      <c r="C3" t="s">
        <v>22</v>
      </c>
      <c r="D3">
        <v>102</v>
      </c>
      <c r="E3" t="s">
        <v>23</v>
      </c>
      <c r="F3" t="s">
        <v>24</v>
      </c>
      <c r="G3" s="2">
        <v>45069</v>
      </c>
      <c r="H3">
        <v>51</v>
      </c>
      <c r="I3" s="2">
        <v>27490</v>
      </c>
      <c r="J3" t="s">
        <v>25</v>
      </c>
      <c r="K3" t="s">
        <v>26</v>
      </c>
      <c r="L3" s="6">
        <v>1</v>
      </c>
      <c r="M3" s="6">
        <f t="shared" ref="M3:M20" si="0">L3*30</f>
        <v>30</v>
      </c>
      <c r="N3" s="4" t="s">
        <v>51</v>
      </c>
      <c r="O3" s="3">
        <v>0.625</v>
      </c>
      <c r="P3" t="s">
        <v>27</v>
      </c>
      <c r="Q3" t="s">
        <v>29</v>
      </c>
    </row>
    <row r="4" spans="1:19" x14ac:dyDescent="0.3">
      <c r="A4" t="s">
        <v>20</v>
      </c>
      <c r="B4" t="s">
        <v>21</v>
      </c>
      <c r="C4" t="s">
        <v>22</v>
      </c>
      <c r="D4">
        <v>102</v>
      </c>
      <c r="E4" t="s">
        <v>23</v>
      </c>
      <c r="F4" t="s">
        <v>24</v>
      </c>
      <c r="G4" s="2">
        <v>45069</v>
      </c>
      <c r="H4">
        <v>51</v>
      </c>
      <c r="I4" s="2">
        <v>27490</v>
      </c>
      <c r="J4" t="s">
        <v>25</v>
      </c>
      <c r="K4" t="s">
        <v>30</v>
      </c>
      <c r="L4" s="6">
        <v>1</v>
      </c>
      <c r="M4" s="6">
        <f t="shared" si="0"/>
        <v>30</v>
      </c>
      <c r="N4" s="4" t="s">
        <v>52</v>
      </c>
      <c r="O4" s="3">
        <v>0.29166666666666669</v>
      </c>
      <c r="Q4" t="s">
        <v>29</v>
      </c>
    </row>
    <row r="5" spans="1:19" x14ac:dyDescent="0.3">
      <c r="A5" t="s">
        <v>20</v>
      </c>
      <c r="B5" t="s">
        <v>21</v>
      </c>
      <c r="C5" t="s">
        <v>22</v>
      </c>
      <c r="D5">
        <v>102</v>
      </c>
      <c r="E5" t="s">
        <v>23</v>
      </c>
      <c r="F5" t="s">
        <v>24</v>
      </c>
      <c r="G5" s="2">
        <v>45069</v>
      </c>
      <c r="H5">
        <v>51</v>
      </c>
      <c r="I5" s="2">
        <v>27490</v>
      </c>
      <c r="J5" t="s">
        <v>25</v>
      </c>
      <c r="K5" t="s">
        <v>31</v>
      </c>
      <c r="L5" s="6">
        <v>0.5</v>
      </c>
      <c r="M5" s="6">
        <f t="shared" si="0"/>
        <v>15</v>
      </c>
      <c r="N5" s="4" t="s">
        <v>51</v>
      </c>
      <c r="O5" s="3">
        <v>0.29166666666666669</v>
      </c>
      <c r="Q5" t="s">
        <v>29</v>
      </c>
    </row>
    <row r="6" spans="1:19" x14ac:dyDescent="0.3">
      <c r="A6" t="s">
        <v>20</v>
      </c>
      <c r="B6" t="s">
        <v>21</v>
      </c>
      <c r="C6" t="s">
        <v>22</v>
      </c>
      <c r="D6">
        <v>102</v>
      </c>
      <c r="E6" t="s">
        <v>23</v>
      </c>
      <c r="F6" t="s">
        <v>24</v>
      </c>
      <c r="G6" s="2">
        <v>45069</v>
      </c>
      <c r="H6">
        <v>51</v>
      </c>
      <c r="I6" s="2">
        <v>27490</v>
      </c>
      <c r="J6" t="s">
        <v>25</v>
      </c>
      <c r="K6" t="s">
        <v>32</v>
      </c>
      <c r="L6" s="6">
        <v>1</v>
      </c>
      <c r="M6" s="6">
        <f t="shared" si="0"/>
        <v>30</v>
      </c>
      <c r="N6" s="4" t="s">
        <v>51</v>
      </c>
      <c r="O6" s="3">
        <v>0.375</v>
      </c>
      <c r="Q6" t="s">
        <v>29</v>
      </c>
    </row>
    <row r="7" spans="1:19" x14ac:dyDescent="0.3">
      <c r="A7" t="s">
        <v>20</v>
      </c>
      <c r="B7" t="s">
        <v>21</v>
      </c>
      <c r="C7" t="s">
        <v>22</v>
      </c>
      <c r="D7">
        <v>102</v>
      </c>
      <c r="E7" t="s">
        <v>23</v>
      </c>
      <c r="F7" t="s">
        <v>24</v>
      </c>
      <c r="G7" s="2">
        <v>45069</v>
      </c>
      <c r="H7">
        <v>51</v>
      </c>
      <c r="I7" s="2">
        <v>27490</v>
      </c>
      <c r="J7" t="s">
        <v>25</v>
      </c>
      <c r="K7" t="s">
        <v>32</v>
      </c>
      <c r="L7" s="6">
        <v>1</v>
      </c>
      <c r="M7" s="6">
        <f t="shared" si="0"/>
        <v>30</v>
      </c>
      <c r="N7" s="4" t="s">
        <v>51</v>
      </c>
      <c r="O7" s="3">
        <v>0.875</v>
      </c>
      <c r="Q7" t="s">
        <v>29</v>
      </c>
    </row>
    <row r="8" spans="1:19" x14ac:dyDescent="0.3">
      <c r="A8" t="s">
        <v>20</v>
      </c>
      <c r="B8" t="s">
        <v>21</v>
      </c>
      <c r="C8" t="s">
        <v>22</v>
      </c>
      <c r="D8">
        <v>102</v>
      </c>
      <c r="E8" t="s">
        <v>23</v>
      </c>
      <c r="F8" t="s">
        <v>24</v>
      </c>
      <c r="G8" s="2">
        <v>45069</v>
      </c>
      <c r="H8">
        <v>51</v>
      </c>
      <c r="I8" s="2">
        <v>27490</v>
      </c>
      <c r="J8" t="s">
        <v>25</v>
      </c>
      <c r="K8" t="s">
        <v>33</v>
      </c>
      <c r="L8" s="6">
        <v>1</v>
      </c>
      <c r="M8" s="6">
        <f t="shared" si="0"/>
        <v>30</v>
      </c>
      <c r="N8" s="4" t="s">
        <v>51</v>
      </c>
      <c r="O8" s="3">
        <v>0.375</v>
      </c>
      <c r="Q8" t="s">
        <v>29</v>
      </c>
    </row>
    <row r="9" spans="1:19" x14ac:dyDescent="0.3">
      <c r="A9" t="s">
        <v>20</v>
      </c>
      <c r="B9" t="s">
        <v>21</v>
      </c>
      <c r="C9" t="s">
        <v>22</v>
      </c>
      <c r="D9">
        <v>102</v>
      </c>
      <c r="E9" t="s">
        <v>23</v>
      </c>
      <c r="F9" t="s">
        <v>24</v>
      </c>
      <c r="G9" s="2">
        <v>45069</v>
      </c>
      <c r="H9">
        <v>51</v>
      </c>
      <c r="I9" s="2">
        <v>27490</v>
      </c>
      <c r="J9" t="s">
        <v>25</v>
      </c>
      <c r="K9" t="s">
        <v>33</v>
      </c>
      <c r="L9" s="6">
        <v>1</v>
      </c>
      <c r="M9" s="6">
        <f t="shared" si="0"/>
        <v>30</v>
      </c>
      <c r="N9" s="4" t="s">
        <v>51</v>
      </c>
      <c r="O9" s="3">
        <v>0.875</v>
      </c>
      <c r="Q9" t="s">
        <v>29</v>
      </c>
    </row>
    <row r="10" spans="1:19" x14ac:dyDescent="0.3">
      <c r="A10" t="s">
        <v>20</v>
      </c>
      <c r="B10" t="s">
        <v>21</v>
      </c>
      <c r="C10" t="s">
        <v>22</v>
      </c>
      <c r="D10">
        <v>102</v>
      </c>
      <c r="E10" t="s">
        <v>23</v>
      </c>
      <c r="F10" t="s">
        <v>24</v>
      </c>
      <c r="G10" s="2">
        <v>45069</v>
      </c>
      <c r="H10">
        <v>51</v>
      </c>
      <c r="I10" s="2">
        <v>27490</v>
      </c>
      <c r="J10" t="s">
        <v>25</v>
      </c>
      <c r="K10" t="s">
        <v>34</v>
      </c>
      <c r="L10" s="6">
        <v>1</v>
      </c>
      <c r="M10" s="6">
        <f t="shared" si="0"/>
        <v>30</v>
      </c>
      <c r="N10" s="4" t="s">
        <v>51</v>
      </c>
      <c r="O10" s="3">
        <v>0.375</v>
      </c>
      <c r="Q10" t="s">
        <v>29</v>
      </c>
    </row>
    <row r="11" spans="1:19" x14ac:dyDescent="0.3">
      <c r="A11" t="s">
        <v>20</v>
      </c>
      <c r="B11" t="s">
        <v>21</v>
      </c>
      <c r="C11" t="s">
        <v>22</v>
      </c>
      <c r="D11">
        <v>102</v>
      </c>
      <c r="E11" t="s">
        <v>23</v>
      </c>
      <c r="F11" t="s">
        <v>24</v>
      </c>
      <c r="G11" s="2">
        <v>45069</v>
      </c>
      <c r="H11">
        <v>51</v>
      </c>
      <c r="I11" s="2">
        <v>27490</v>
      </c>
      <c r="J11" t="s">
        <v>25</v>
      </c>
      <c r="K11" t="s">
        <v>34</v>
      </c>
      <c r="L11" s="6">
        <v>1</v>
      </c>
      <c r="M11" s="6">
        <f t="shared" si="0"/>
        <v>30</v>
      </c>
      <c r="N11" s="4" t="s">
        <v>51</v>
      </c>
      <c r="O11" s="3">
        <v>0.875</v>
      </c>
      <c r="Q11" t="s">
        <v>29</v>
      </c>
    </row>
    <row r="12" spans="1:19" x14ac:dyDescent="0.3">
      <c r="A12" t="s">
        <v>20</v>
      </c>
      <c r="B12" t="s">
        <v>21</v>
      </c>
      <c r="C12" t="s">
        <v>22</v>
      </c>
      <c r="D12">
        <v>102</v>
      </c>
      <c r="E12" t="s">
        <v>23</v>
      </c>
      <c r="F12" t="s">
        <v>24</v>
      </c>
      <c r="G12" s="2">
        <v>45069</v>
      </c>
      <c r="H12">
        <v>51</v>
      </c>
      <c r="I12" s="2">
        <v>27490</v>
      </c>
      <c r="J12" t="s">
        <v>25</v>
      </c>
      <c r="K12" t="s">
        <v>35</v>
      </c>
      <c r="L12" s="6">
        <v>1</v>
      </c>
      <c r="M12" s="6">
        <f t="shared" si="0"/>
        <v>30</v>
      </c>
      <c r="N12" s="4" t="s">
        <v>51</v>
      </c>
      <c r="O12" s="3">
        <v>0.375</v>
      </c>
      <c r="Q12" t="s">
        <v>29</v>
      </c>
    </row>
    <row r="13" spans="1:19" x14ac:dyDescent="0.3">
      <c r="A13" t="s">
        <v>20</v>
      </c>
      <c r="B13" t="s">
        <v>21</v>
      </c>
      <c r="C13" t="s">
        <v>22</v>
      </c>
      <c r="D13">
        <v>102</v>
      </c>
      <c r="E13" t="s">
        <v>23</v>
      </c>
      <c r="F13" t="s">
        <v>24</v>
      </c>
      <c r="G13" s="2">
        <v>45069</v>
      </c>
      <c r="H13">
        <v>51</v>
      </c>
      <c r="I13" s="2">
        <v>27490</v>
      </c>
      <c r="J13" t="s">
        <v>25</v>
      </c>
      <c r="K13" t="s">
        <v>35</v>
      </c>
      <c r="L13" s="6">
        <v>1</v>
      </c>
      <c r="M13" s="6">
        <f t="shared" si="0"/>
        <v>30</v>
      </c>
      <c r="N13" s="4" t="s">
        <v>51</v>
      </c>
      <c r="O13" s="3">
        <v>0.875</v>
      </c>
      <c r="Q13" t="s">
        <v>29</v>
      </c>
    </row>
    <row r="14" spans="1:19" x14ac:dyDescent="0.3">
      <c r="A14" t="s">
        <v>20</v>
      </c>
      <c r="B14" t="s">
        <v>21</v>
      </c>
      <c r="C14" t="s">
        <v>22</v>
      </c>
      <c r="D14">
        <v>102</v>
      </c>
      <c r="E14" t="s">
        <v>23</v>
      </c>
      <c r="F14" t="s">
        <v>24</v>
      </c>
      <c r="G14" s="2">
        <v>45069</v>
      </c>
      <c r="H14">
        <v>51</v>
      </c>
      <c r="I14" s="2">
        <v>27490</v>
      </c>
      <c r="J14" t="s">
        <v>25</v>
      </c>
      <c r="K14" t="s">
        <v>36</v>
      </c>
      <c r="L14" s="6">
        <v>1</v>
      </c>
      <c r="M14" s="6">
        <f t="shared" si="0"/>
        <v>30</v>
      </c>
      <c r="N14" s="4" t="s">
        <v>51</v>
      </c>
      <c r="O14" s="3">
        <v>0.375</v>
      </c>
      <c r="Q14" t="s">
        <v>29</v>
      </c>
    </row>
    <row r="15" spans="1:19" x14ac:dyDescent="0.3">
      <c r="A15" t="s">
        <v>20</v>
      </c>
      <c r="B15" t="s">
        <v>21</v>
      </c>
      <c r="C15" t="s">
        <v>22</v>
      </c>
      <c r="D15">
        <v>102</v>
      </c>
      <c r="E15" t="s">
        <v>23</v>
      </c>
      <c r="F15" t="s">
        <v>24</v>
      </c>
      <c r="G15" s="2">
        <v>45069</v>
      </c>
      <c r="H15">
        <v>51</v>
      </c>
      <c r="I15" s="2">
        <v>27490</v>
      </c>
      <c r="J15" t="s">
        <v>25</v>
      </c>
      <c r="K15" t="s">
        <v>36</v>
      </c>
      <c r="L15" s="6">
        <v>1</v>
      </c>
      <c r="M15" s="6">
        <f t="shared" si="0"/>
        <v>30</v>
      </c>
      <c r="N15" s="4" t="s">
        <v>51</v>
      </c>
      <c r="O15" s="3">
        <v>0.875</v>
      </c>
      <c r="Q15" t="s">
        <v>29</v>
      </c>
    </row>
    <row r="16" spans="1:19" x14ac:dyDescent="0.3">
      <c r="A16" t="s">
        <v>20</v>
      </c>
      <c r="B16" t="s">
        <v>21</v>
      </c>
      <c r="C16" t="s">
        <v>22</v>
      </c>
      <c r="D16">
        <v>102</v>
      </c>
      <c r="E16" t="s">
        <v>23</v>
      </c>
      <c r="F16" t="s">
        <v>24</v>
      </c>
      <c r="G16" s="2">
        <v>45069</v>
      </c>
      <c r="H16">
        <v>51</v>
      </c>
      <c r="I16" s="2">
        <v>27490</v>
      </c>
      <c r="J16" t="s">
        <v>25</v>
      </c>
      <c r="K16" t="s">
        <v>37</v>
      </c>
      <c r="L16" s="6">
        <v>0.5</v>
      </c>
      <c r="M16" s="6">
        <f t="shared" si="0"/>
        <v>15</v>
      </c>
      <c r="N16" s="4" t="s">
        <v>51</v>
      </c>
      <c r="O16" s="3">
        <v>0.375</v>
      </c>
      <c r="Q16" t="s">
        <v>29</v>
      </c>
    </row>
    <row r="17" spans="1:19" x14ac:dyDescent="0.3">
      <c r="A17" t="s">
        <v>20</v>
      </c>
      <c r="B17" t="s">
        <v>21</v>
      </c>
      <c r="C17" t="s">
        <v>22</v>
      </c>
      <c r="D17">
        <v>102</v>
      </c>
      <c r="E17" t="s">
        <v>23</v>
      </c>
      <c r="F17" t="s">
        <v>24</v>
      </c>
      <c r="G17" s="2">
        <v>45069</v>
      </c>
      <c r="H17">
        <v>51</v>
      </c>
      <c r="I17" s="2">
        <v>27490</v>
      </c>
      <c r="J17" t="s">
        <v>25</v>
      </c>
      <c r="K17" t="s">
        <v>37</v>
      </c>
      <c r="L17" s="6">
        <v>0.5</v>
      </c>
      <c r="M17" s="6">
        <f t="shared" si="0"/>
        <v>15</v>
      </c>
      <c r="N17" s="4" t="s">
        <v>51</v>
      </c>
      <c r="O17" s="3">
        <v>0.875</v>
      </c>
      <c r="Q17" t="s">
        <v>29</v>
      </c>
    </row>
    <row r="18" spans="1:19" x14ac:dyDescent="0.3">
      <c r="A18" t="s">
        <v>20</v>
      </c>
      <c r="B18" t="s">
        <v>21</v>
      </c>
      <c r="C18" t="s">
        <v>22</v>
      </c>
      <c r="D18">
        <v>102</v>
      </c>
      <c r="E18" t="s">
        <v>23</v>
      </c>
      <c r="F18" t="s">
        <v>24</v>
      </c>
      <c r="G18" s="2">
        <v>45069</v>
      </c>
      <c r="H18">
        <v>51</v>
      </c>
      <c r="I18" s="2">
        <v>27490</v>
      </c>
      <c r="J18" t="s">
        <v>25</v>
      </c>
      <c r="K18" t="s">
        <v>360</v>
      </c>
      <c r="L18" s="6">
        <v>1</v>
      </c>
      <c r="M18" s="6">
        <f t="shared" si="0"/>
        <v>30</v>
      </c>
      <c r="N18" s="4" t="s">
        <v>51</v>
      </c>
      <c r="O18" s="3">
        <v>0.875</v>
      </c>
      <c r="Q18" t="s">
        <v>29</v>
      </c>
    </row>
    <row r="19" spans="1:19" x14ac:dyDescent="0.3">
      <c r="A19" t="s">
        <v>20</v>
      </c>
      <c r="B19" t="s">
        <v>21</v>
      </c>
      <c r="C19" t="s">
        <v>22</v>
      </c>
      <c r="D19">
        <v>102</v>
      </c>
      <c r="E19" t="s">
        <v>23</v>
      </c>
      <c r="F19" t="s">
        <v>24</v>
      </c>
      <c r="G19" s="2">
        <v>45069</v>
      </c>
      <c r="H19">
        <v>51</v>
      </c>
      <c r="I19" s="2">
        <v>27490</v>
      </c>
      <c r="J19" t="s">
        <v>25</v>
      </c>
      <c r="K19" t="s">
        <v>256</v>
      </c>
      <c r="L19" s="6">
        <v>1</v>
      </c>
      <c r="M19" s="6">
        <f t="shared" si="0"/>
        <v>30</v>
      </c>
      <c r="N19" s="4" t="s">
        <v>51</v>
      </c>
      <c r="O19" s="3">
        <v>0.875</v>
      </c>
      <c r="P19" t="s">
        <v>27</v>
      </c>
      <c r="Q19" t="s">
        <v>29</v>
      </c>
    </row>
    <row r="20" spans="1:19" x14ac:dyDescent="0.3">
      <c r="A20" t="s">
        <v>20</v>
      </c>
      <c r="B20" t="s">
        <v>21</v>
      </c>
      <c r="C20" t="s">
        <v>22</v>
      </c>
      <c r="D20">
        <v>102</v>
      </c>
      <c r="E20" t="s">
        <v>23</v>
      </c>
      <c r="F20" t="s">
        <v>24</v>
      </c>
      <c r="G20" s="2">
        <v>45069</v>
      </c>
      <c r="H20">
        <v>51</v>
      </c>
      <c r="I20" s="2">
        <v>27490</v>
      </c>
      <c r="J20" t="s">
        <v>25</v>
      </c>
      <c r="K20" t="s">
        <v>38</v>
      </c>
      <c r="L20" s="6">
        <v>1</v>
      </c>
      <c r="M20" s="6">
        <f t="shared" si="0"/>
        <v>30</v>
      </c>
      <c r="N20" s="4" t="s">
        <v>51</v>
      </c>
      <c r="O20" s="3">
        <v>0.95833333333333337</v>
      </c>
      <c r="Q20" t="s">
        <v>29</v>
      </c>
    </row>
    <row r="21" spans="1:19" x14ac:dyDescent="0.3">
      <c r="A21" t="s">
        <v>20</v>
      </c>
      <c r="B21" t="s">
        <v>21</v>
      </c>
      <c r="C21" t="s">
        <v>22</v>
      </c>
      <c r="D21">
        <v>102</v>
      </c>
      <c r="E21" t="s">
        <v>23</v>
      </c>
      <c r="F21" t="s">
        <v>24</v>
      </c>
      <c r="G21" s="2">
        <v>45069</v>
      </c>
      <c r="H21">
        <v>51</v>
      </c>
      <c r="I21" s="2">
        <v>27490</v>
      </c>
      <c r="J21" t="s">
        <v>25</v>
      </c>
      <c r="K21" t="s">
        <v>39</v>
      </c>
      <c r="L21" s="6">
        <v>0.5</v>
      </c>
      <c r="N21" s="4" t="s">
        <v>51</v>
      </c>
      <c r="O21" s="3">
        <v>0.70833333333333337</v>
      </c>
      <c r="Q21" t="s">
        <v>40</v>
      </c>
      <c r="R21" s="2">
        <v>46189</v>
      </c>
      <c r="S21" s="2">
        <v>46189</v>
      </c>
    </row>
    <row r="22" spans="1:19" x14ac:dyDescent="0.3">
      <c r="A22" t="s">
        <v>44</v>
      </c>
      <c r="B22" t="s">
        <v>45</v>
      </c>
      <c r="C22" t="s">
        <v>22</v>
      </c>
      <c r="D22">
        <v>301</v>
      </c>
      <c r="E22" t="s">
        <v>23</v>
      </c>
      <c r="F22" t="s">
        <v>46</v>
      </c>
      <c r="G22" s="2">
        <v>45230</v>
      </c>
      <c r="H22">
        <v>93</v>
      </c>
      <c r="I22" s="2">
        <v>11932</v>
      </c>
      <c r="J22" t="s">
        <v>47</v>
      </c>
      <c r="K22" t="s">
        <v>48</v>
      </c>
      <c r="L22" s="6">
        <v>1</v>
      </c>
      <c r="M22" s="6">
        <f t="shared" ref="M22:M38" si="1">L22*30</f>
        <v>30</v>
      </c>
      <c r="N22" s="4" t="s">
        <v>53</v>
      </c>
      <c r="O22" s="3">
        <v>0.29166666666666669</v>
      </c>
      <c r="P22" t="s">
        <v>49</v>
      </c>
      <c r="Q22" t="s">
        <v>29</v>
      </c>
    </row>
    <row r="23" spans="1:19" x14ac:dyDescent="0.3">
      <c r="A23" t="s">
        <v>44</v>
      </c>
      <c r="B23" t="s">
        <v>45</v>
      </c>
      <c r="C23" t="s">
        <v>22</v>
      </c>
      <c r="D23">
        <v>301</v>
      </c>
      <c r="E23" t="s">
        <v>23</v>
      </c>
      <c r="F23" t="s">
        <v>46</v>
      </c>
      <c r="G23" s="2">
        <v>45230</v>
      </c>
      <c r="H23">
        <v>93</v>
      </c>
      <c r="I23" s="2">
        <v>11932</v>
      </c>
      <c r="J23" t="s">
        <v>47</v>
      </c>
      <c r="K23" t="s">
        <v>54</v>
      </c>
      <c r="L23" s="6">
        <v>1</v>
      </c>
      <c r="M23" s="6">
        <f t="shared" si="1"/>
        <v>30</v>
      </c>
      <c r="N23" s="4" t="s">
        <v>51</v>
      </c>
      <c r="O23" s="3">
        <v>0.375</v>
      </c>
      <c r="Q23" t="s">
        <v>29</v>
      </c>
    </row>
    <row r="24" spans="1:19" x14ac:dyDescent="0.3">
      <c r="A24" t="s">
        <v>44</v>
      </c>
      <c r="B24" t="s">
        <v>45</v>
      </c>
      <c r="C24" t="s">
        <v>22</v>
      </c>
      <c r="D24">
        <v>301</v>
      </c>
      <c r="E24" t="s">
        <v>23</v>
      </c>
      <c r="F24" t="s">
        <v>46</v>
      </c>
      <c r="G24" s="2">
        <v>45230</v>
      </c>
      <c r="H24">
        <v>93</v>
      </c>
      <c r="I24" s="2">
        <v>11932</v>
      </c>
      <c r="J24" t="s">
        <v>47</v>
      </c>
      <c r="K24" t="s">
        <v>54</v>
      </c>
      <c r="L24" s="6">
        <v>1</v>
      </c>
      <c r="M24" s="6">
        <f t="shared" si="1"/>
        <v>30</v>
      </c>
      <c r="N24" s="4" t="s">
        <v>51</v>
      </c>
      <c r="O24" s="3">
        <v>0.875</v>
      </c>
      <c r="Q24" t="s">
        <v>29</v>
      </c>
    </row>
    <row r="25" spans="1:19" x14ac:dyDescent="0.3">
      <c r="A25" t="s">
        <v>44</v>
      </c>
      <c r="B25" t="s">
        <v>45</v>
      </c>
      <c r="C25" t="s">
        <v>22</v>
      </c>
      <c r="D25">
        <v>301</v>
      </c>
      <c r="E25" t="s">
        <v>23</v>
      </c>
      <c r="F25" t="s">
        <v>46</v>
      </c>
      <c r="G25" s="2">
        <v>45230</v>
      </c>
      <c r="H25">
        <v>93</v>
      </c>
      <c r="I25" s="2">
        <v>11932</v>
      </c>
      <c r="J25" t="s">
        <v>47</v>
      </c>
      <c r="K25" t="s">
        <v>55</v>
      </c>
      <c r="L25" s="6">
        <v>1</v>
      </c>
      <c r="M25" s="6">
        <f t="shared" si="1"/>
        <v>30</v>
      </c>
      <c r="N25" s="4" t="s">
        <v>56</v>
      </c>
      <c r="O25" s="3">
        <v>0.375</v>
      </c>
      <c r="P25" t="s">
        <v>57</v>
      </c>
      <c r="Q25" t="s">
        <v>29</v>
      </c>
    </row>
    <row r="26" spans="1:19" x14ac:dyDescent="0.3">
      <c r="A26" t="s">
        <v>44</v>
      </c>
      <c r="B26" t="s">
        <v>45</v>
      </c>
      <c r="C26" t="s">
        <v>22</v>
      </c>
      <c r="D26">
        <v>301</v>
      </c>
      <c r="E26" t="s">
        <v>23</v>
      </c>
      <c r="F26" t="s">
        <v>46</v>
      </c>
      <c r="G26" s="2">
        <v>45230</v>
      </c>
      <c r="H26">
        <v>93</v>
      </c>
      <c r="I26" s="2">
        <v>11932</v>
      </c>
      <c r="J26" t="s">
        <v>47</v>
      </c>
      <c r="K26" t="s">
        <v>55</v>
      </c>
      <c r="L26" s="6">
        <v>1</v>
      </c>
      <c r="M26" s="6">
        <f t="shared" si="1"/>
        <v>30</v>
      </c>
      <c r="N26" s="4" t="s">
        <v>56</v>
      </c>
      <c r="O26" s="3">
        <v>0.875</v>
      </c>
      <c r="P26" t="s">
        <v>57</v>
      </c>
      <c r="Q26" t="s">
        <v>29</v>
      </c>
    </row>
    <row r="27" spans="1:19" x14ac:dyDescent="0.3">
      <c r="A27" t="s">
        <v>44</v>
      </c>
      <c r="B27" t="s">
        <v>45</v>
      </c>
      <c r="C27" t="s">
        <v>22</v>
      </c>
      <c r="D27">
        <v>301</v>
      </c>
      <c r="E27" t="s">
        <v>23</v>
      </c>
      <c r="F27" t="s">
        <v>46</v>
      </c>
      <c r="G27" s="2">
        <v>45230</v>
      </c>
      <c r="H27">
        <v>93</v>
      </c>
      <c r="I27" s="2">
        <v>11932</v>
      </c>
      <c r="J27" t="s">
        <v>47</v>
      </c>
      <c r="K27" t="s">
        <v>58</v>
      </c>
      <c r="L27" s="6">
        <v>1</v>
      </c>
      <c r="M27" s="6">
        <f t="shared" si="1"/>
        <v>30</v>
      </c>
      <c r="N27" s="4" t="s">
        <v>56</v>
      </c>
      <c r="O27" s="3">
        <v>0.375</v>
      </c>
      <c r="P27" t="s">
        <v>59</v>
      </c>
      <c r="Q27" t="s">
        <v>29</v>
      </c>
    </row>
    <row r="28" spans="1:19" x14ac:dyDescent="0.3">
      <c r="A28" t="s">
        <v>44</v>
      </c>
      <c r="B28" t="s">
        <v>45</v>
      </c>
      <c r="C28" t="s">
        <v>22</v>
      </c>
      <c r="D28">
        <v>301</v>
      </c>
      <c r="E28" t="s">
        <v>23</v>
      </c>
      <c r="F28" t="s">
        <v>46</v>
      </c>
      <c r="G28" s="2">
        <v>45230</v>
      </c>
      <c r="H28">
        <v>93</v>
      </c>
      <c r="I28" s="2">
        <v>11932</v>
      </c>
      <c r="J28" t="s">
        <v>47</v>
      </c>
      <c r="K28" t="s">
        <v>58</v>
      </c>
      <c r="L28" s="6">
        <v>1</v>
      </c>
      <c r="M28" s="6">
        <f t="shared" si="1"/>
        <v>30</v>
      </c>
      <c r="N28" s="4" t="s">
        <v>56</v>
      </c>
      <c r="O28" s="3">
        <v>0.875</v>
      </c>
      <c r="P28" t="s">
        <v>59</v>
      </c>
      <c r="Q28" t="s">
        <v>29</v>
      </c>
    </row>
    <row r="29" spans="1:19" x14ac:dyDescent="0.3">
      <c r="A29" t="s">
        <v>44</v>
      </c>
      <c r="B29" t="s">
        <v>45</v>
      </c>
      <c r="C29" t="s">
        <v>22</v>
      </c>
      <c r="D29">
        <v>301</v>
      </c>
      <c r="E29" t="s">
        <v>23</v>
      </c>
      <c r="F29" t="s">
        <v>46</v>
      </c>
      <c r="G29" s="2">
        <v>45230</v>
      </c>
      <c r="H29">
        <v>93</v>
      </c>
      <c r="I29" s="2">
        <v>11932</v>
      </c>
      <c r="J29" t="s">
        <v>47</v>
      </c>
      <c r="K29" t="s">
        <v>60</v>
      </c>
      <c r="L29" s="6">
        <v>0.5</v>
      </c>
      <c r="M29" s="6">
        <f t="shared" si="1"/>
        <v>15</v>
      </c>
      <c r="N29" s="4" t="s">
        <v>51</v>
      </c>
      <c r="O29" s="3">
        <v>0.375</v>
      </c>
      <c r="P29" t="s">
        <v>49</v>
      </c>
      <c r="Q29" t="s">
        <v>29</v>
      </c>
    </row>
    <row r="30" spans="1:19" x14ac:dyDescent="0.3">
      <c r="A30" t="s">
        <v>44</v>
      </c>
      <c r="B30" t="s">
        <v>45</v>
      </c>
      <c r="C30" t="s">
        <v>22</v>
      </c>
      <c r="D30">
        <v>301</v>
      </c>
      <c r="E30" t="s">
        <v>23</v>
      </c>
      <c r="F30" t="s">
        <v>46</v>
      </c>
      <c r="G30" s="2">
        <v>45230</v>
      </c>
      <c r="H30">
        <v>93</v>
      </c>
      <c r="I30" s="2">
        <v>11932</v>
      </c>
      <c r="J30" t="s">
        <v>47</v>
      </c>
      <c r="K30" t="s">
        <v>61</v>
      </c>
      <c r="L30" s="6">
        <v>0.5</v>
      </c>
      <c r="M30" s="6">
        <f t="shared" si="1"/>
        <v>15</v>
      </c>
      <c r="N30" s="4" t="s">
        <v>51</v>
      </c>
      <c r="O30" s="3">
        <v>0.375</v>
      </c>
      <c r="P30" t="s">
        <v>49</v>
      </c>
      <c r="Q30" t="s">
        <v>29</v>
      </c>
    </row>
    <row r="31" spans="1:19" x14ac:dyDescent="0.3">
      <c r="A31" t="s">
        <v>44</v>
      </c>
      <c r="B31" t="s">
        <v>45</v>
      </c>
      <c r="C31" t="s">
        <v>22</v>
      </c>
      <c r="D31">
        <v>301</v>
      </c>
      <c r="E31" t="s">
        <v>23</v>
      </c>
      <c r="F31" t="s">
        <v>46</v>
      </c>
      <c r="G31" s="2">
        <v>45230</v>
      </c>
      <c r="H31">
        <v>93</v>
      </c>
      <c r="I31" s="2">
        <v>11932</v>
      </c>
      <c r="J31" t="s">
        <v>47</v>
      </c>
      <c r="K31" t="s">
        <v>62</v>
      </c>
      <c r="L31" s="6">
        <v>1</v>
      </c>
      <c r="M31" s="6">
        <f t="shared" si="1"/>
        <v>30</v>
      </c>
      <c r="N31" s="4" t="s">
        <v>53</v>
      </c>
      <c r="O31" s="3">
        <v>0.375</v>
      </c>
      <c r="P31" t="s">
        <v>63</v>
      </c>
      <c r="Q31" t="s">
        <v>29</v>
      </c>
    </row>
    <row r="32" spans="1:19" x14ac:dyDescent="0.3">
      <c r="A32" t="s">
        <v>44</v>
      </c>
      <c r="B32" t="s">
        <v>45</v>
      </c>
      <c r="C32" t="s">
        <v>22</v>
      </c>
      <c r="D32">
        <v>301</v>
      </c>
      <c r="E32" t="s">
        <v>23</v>
      </c>
      <c r="F32" t="s">
        <v>46</v>
      </c>
      <c r="G32" s="2">
        <v>45230</v>
      </c>
      <c r="H32">
        <v>93</v>
      </c>
      <c r="I32" s="2">
        <v>11932</v>
      </c>
      <c r="J32" t="s">
        <v>47</v>
      </c>
      <c r="K32" t="s">
        <v>64</v>
      </c>
      <c r="L32" s="6">
        <v>12</v>
      </c>
      <c r="M32" s="6">
        <f t="shared" si="1"/>
        <v>360</v>
      </c>
      <c r="N32" s="4" t="s">
        <v>65</v>
      </c>
      <c r="O32" s="3">
        <v>0.41666666666666669</v>
      </c>
      <c r="Q32" t="s">
        <v>29</v>
      </c>
    </row>
    <row r="33" spans="1:17" x14ac:dyDescent="0.3">
      <c r="A33" t="s">
        <v>44</v>
      </c>
      <c r="B33" t="s">
        <v>45</v>
      </c>
      <c r="C33" t="s">
        <v>22</v>
      </c>
      <c r="D33">
        <v>301</v>
      </c>
      <c r="E33" t="s">
        <v>23</v>
      </c>
      <c r="F33" t="s">
        <v>46</v>
      </c>
      <c r="G33" s="2">
        <v>45230</v>
      </c>
      <c r="H33">
        <v>93</v>
      </c>
      <c r="I33" s="2">
        <v>11932</v>
      </c>
      <c r="J33" t="s">
        <v>47</v>
      </c>
      <c r="K33" t="s">
        <v>66</v>
      </c>
      <c r="L33" s="6">
        <v>1</v>
      </c>
      <c r="M33" s="6">
        <f t="shared" si="1"/>
        <v>30</v>
      </c>
      <c r="N33" s="4" t="s">
        <v>51</v>
      </c>
      <c r="O33" s="3">
        <v>0.54166666666666663</v>
      </c>
      <c r="P33" t="s">
        <v>67</v>
      </c>
      <c r="Q33" t="s">
        <v>29</v>
      </c>
    </row>
    <row r="34" spans="1:17" x14ac:dyDescent="0.3">
      <c r="A34" t="s">
        <v>44</v>
      </c>
      <c r="B34" t="s">
        <v>45</v>
      </c>
      <c r="C34" t="s">
        <v>22</v>
      </c>
      <c r="D34">
        <v>301</v>
      </c>
      <c r="E34" t="s">
        <v>23</v>
      </c>
      <c r="F34" t="s">
        <v>46</v>
      </c>
      <c r="G34" s="2">
        <v>45230</v>
      </c>
      <c r="H34">
        <v>93</v>
      </c>
      <c r="I34" s="2">
        <v>11932</v>
      </c>
      <c r="J34" t="s">
        <v>47</v>
      </c>
      <c r="K34" t="s">
        <v>66</v>
      </c>
      <c r="L34" s="6">
        <v>1</v>
      </c>
      <c r="M34" s="6">
        <f t="shared" si="1"/>
        <v>30</v>
      </c>
      <c r="N34" s="4" t="s">
        <v>51</v>
      </c>
      <c r="O34" s="3">
        <v>0.75</v>
      </c>
      <c r="P34" t="s">
        <v>68</v>
      </c>
      <c r="Q34" t="s">
        <v>29</v>
      </c>
    </row>
    <row r="35" spans="1:17" x14ac:dyDescent="0.3">
      <c r="A35" t="s">
        <v>44</v>
      </c>
      <c r="B35" t="s">
        <v>45</v>
      </c>
      <c r="C35" t="s">
        <v>22</v>
      </c>
      <c r="D35">
        <v>301</v>
      </c>
      <c r="E35" t="s">
        <v>23</v>
      </c>
      <c r="F35" t="s">
        <v>46</v>
      </c>
      <c r="G35" s="2">
        <v>45230</v>
      </c>
      <c r="H35">
        <v>93</v>
      </c>
      <c r="I35" s="2">
        <v>11932</v>
      </c>
      <c r="J35" t="s">
        <v>47</v>
      </c>
      <c r="K35" t="s">
        <v>69</v>
      </c>
      <c r="L35" s="6">
        <v>1</v>
      </c>
      <c r="M35" s="6">
        <f t="shared" si="1"/>
        <v>30</v>
      </c>
      <c r="N35" s="4" t="s">
        <v>56</v>
      </c>
      <c r="O35" s="3">
        <v>0.875</v>
      </c>
      <c r="P35" t="s">
        <v>59</v>
      </c>
      <c r="Q35" t="s">
        <v>29</v>
      </c>
    </row>
    <row r="36" spans="1:17" x14ac:dyDescent="0.3">
      <c r="A36" t="s">
        <v>44</v>
      </c>
      <c r="B36" t="s">
        <v>45</v>
      </c>
      <c r="C36" t="s">
        <v>22</v>
      </c>
      <c r="D36">
        <v>301</v>
      </c>
      <c r="E36" t="s">
        <v>23</v>
      </c>
      <c r="F36" t="s">
        <v>46</v>
      </c>
      <c r="G36" s="2">
        <v>45230</v>
      </c>
      <c r="H36">
        <v>93</v>
      </c>
      <c r="I36" s="2">
        <v>11932</v>
      </c>
      <c r="J36" t="s">
        <v>47</v>
      </c>
      <c r="K36" t="s">
        <v>38</v>
      </c>
      <c r="L36" s="6">
        <v>1</v>
      </c>
      <c r="M36" s="6">
        <f t="shared" si="1"/>
        <v>30</v>
      </c>
      <c r="N36" s="4" t="s">
        <v>51</v>
      </c>
      <c r="O36" s="3">
        <v>0.91666666666666663</v>
      </c>
      <c r="P36" t="s">
        <v>49</v>
      </c>
      <c r="Q36" t="s">
        <v>29</v>
      </c>
    </row>
    <row r="37" spans="1:17" x14ac:dyDescent="0.3">
      <c r="A37" t="s">
        <v>44</v>
      </c>
      <c r="B37" t="s">
        <v>45</v>
      </c>
      <c r="C37" t="s">
        <v>22</v>
      </c>
      <c r="D37">
        <v>301</v>
      </c>
      <c r="E37" t="s">
        <v>23</v>
      </c>
      <c r="F37" t="s">
        <v>46</v>
      </c>
      <c r="G37" s="2">
        <v>45230</v>
      </c>
      <c r="H37">
        <v>93</v>
      </c>
      <c r="I37" s="2">
        <v>11932</v>
      </c>
      <c r="J37" t="s">
        <v>47</v>
      </c>
      <c r="K37" t="s">
        <v>70</v>
      </c>
      <c r="L37" s="6">
        <v>0.25</v>
      </c>
      <c r="M37" s="6">
        <f t="shared" si="1"/>
        <v>7.5</v>
      </c>
      <c r="N37" s="4" t="s">
        <v>51</v>
      </c>
      <c r="O37" s="3">
        <v>0.91666666666666663</v>
      </c>
      <c r="P37" t="s">
        <v>49</v>
      </c>
      <c r="Q37" t="s">
        <v>29</v>
      </c>
    </row>
    <row r="38" spans="1:17" x14ac:dyDescent="0.3">
      <c r="A38" t="s">
        <v>44</v>
      </c>
      <c r="B38" t="s">
        <v>45</v>
      </c>
      <c r="C38" t="s">
        <v>22</v>
      </c>
      <c r="D38">
        <v>301</v>
      </c>
      <c r="E38" t="s">
        <v>23</v>
      </c>
      <c r="F38" t="s">
        <v>46</v>
      </c>
      <c r="G38" s="2">
        <v>45230</v>
      </c>
      <c r="H38">
        <v>93</v>
      </c>
      <c r="I38" s="2">
        <v>11932</v>
      </c>
      <c r="J38" t="s">
        <v>47</v>
      </c>
      <c r="K38" t="s">
        <v>71</v>
      </c>
      <c r="L38" s="6">
        <v>1</v>
      </c>
      <c r="M38" s="6">
        <f t="shared" si="1"/>
        <v>30</v>
      </c>
      <c r="N38" s="4" t="s">
        <v>51</v>
      </c>
      <c r="O38" s="3">
        <v>0.91666666666666663</v>
      </c>
      <c r="P38" t="s">
        <v>49</v>
      </c>
      <c r="Q38" t="s">
        <v>29</v>
      </c>
    </row>
    <row r="39" spans="1:17" x14ac:dyDescent="0.3">
      <c r="A39" t="s">
        <v>44</v>
      </c>
      <c r="B39" t="s">
        <v>45</v>
      </c>
      <c r="C39" t="s">
        <v>22</v>
      </c>
      <c r="D39">
        <v>301</v>
      </c>
      <c r="E39" t="s">
        <v>23</v>
      </c>
      <c r="F39" t="s">
        <v>46</v>
      </c>
      <c r="G39" s="2">
        <v>45230</v>
      </c>
      <c r="H39">
        <v>93</v>
      </c>
      <c r="I39" s="2">
        <v>11932</v>
      </c>
      <c r="J39" t="s">
        <v>47</v>
      </c>
      <c r="K39" t="s">
        <v>72</v>
      </c>
      <c r="L39" s="6">
        <v>7</v>
      </c>
      <c r="N39" s="4" t="s">
        <v>56</v>
      </c>
      <c r="O39" s="3"/>
      <c r="P39" t="s">
        <v>73</v>
      </c>
      <c r="Q39" t="s">
        <v>74</v>
      </c>
    </row>
    <row r="40" spans="1:17" x14ac:dyDescent="0.3">
      <c r="A40" t="s">
        <v>75</v>
      </c>
      <c r="B40" t="s">
        <v>76</v>
      </c>
      <c r="C40" t="s">
        <v>22</v>
      </c>
      <c r="D40">
        <v>203</v>
      </c>
      <c r="E40" t="s">
        <v>23</v>
      </c>
      <c r="F40" t="s">
        <v>77</v>
      </c>
      <c r="G40" s="2">
        <v>45457</v>
      </c>
      <c r="H40">
        <v>92</v>
      </c>
      <c r="I40" s="2">
        <v>12293</v>
      </c>
      <c r="J40" t="s">
        <v>78</v>
      </c>
      <c r="K40" t="s">
        <v>38</v>
      </c>
      <c r="L40" s="6">
        <v>1</v>
      </c>
      <c r="M40" s="6">
        <f t="shared" ref="M40:M50" si="2">L40*30</f>
        <v>30</v>
      </c>
      <c r="N40" s="4" t="s">
        <v>51</v>
      </c>
      <c r="O40" s="3">
        <v>0.375</v>
      </c>
      <c r="Q40" t="s">
        <v>29</v>
      </c>
    </row>
    <row r="41" spans="1:17" x14ac:dyDescent="0.3">
      <c r="A41" t="s">
        <v>75</v>
      </c>
      <c r="B41" t="s">
        <v>76</v>
      </c>
      <c r="C41" t="s">
        <v>22</v>
      </c>
      <c r="D41">
        <v>203</v>
      </c>
      <c r="E41" t="s">
        <v>23</v>
      </c>
      <c r="F41" t="s">
        <v>77</v>
      </c>
      <c r="G41" s="2">
        <v>45457</v>
      </c>
      <c r="H41">
        <v>92</v>
      </c>
      <c r="I41" s="2">
        <v>12293</v>
      </c>
      <c r="J41" t="s">
        <v>78</v>
      </c>
      <c r="K41" t="s">
        <v>38</v>
      </c>
      <c r="L41" s="6">
        <v>1</v>
      </c>
      <c r="M41" s="6">
        <f t="shared" si="2"/>
        <v>30</v>
      </c>
      <c r="N41" s="4" t="s">
        <v>51</v>
      </c>
      <c r="O41" s="3">
        <v>0.875</v>
      </c>
      <c r="Q41" t="s">
        <v>29</v>
      </c>
    </row>
    <row r="42" spans="1:17" x14ac:dyDescent="0.3">
      <c r="A42" t="s">
        <v>75</v>
      </c>
      <c r="B42" t="s">
        <v>76</v>
      </c>
      <c r="C42" t="s">
        <v>22</v>
      </c>
      <c r="D42">
        <v>203</v>
      </c>
      <c r="E42" t="s">
        <v>23</v>
      </c>
      <c r="F42" t="s">
        <v>77</v>
      </c>
      <c r="G42" s="2">
        <v>45457</v>
      </c>
      <c r="H42">
        <v>92</v>
      </c>
      <c r="I42" s="2">
        <v>12293</v>
      </c>
      <c r="J42" t="s">
        <v>78</v>
      </c>
      <c r="K42" t="s">
        <v>79</v>
      </c>
      <c r="L42" s="6">
        <v>1</v>
      </c>
      <c r="M42" s="6">
        <f t="shared" si="2"/>
        <v>30</v>
      </c>
      <c r="N42" s="4" t="s">
        <v>51</v>
      </c>
      <c r="O42" s="3">
        <v>0.375</v>
      </c>
      <c r="Q42" t="s">
        <v>29</v>
      </c>
    </row>
    <row r="43" spans="1:17" x14ac:dyDescent="0.3">
      <c r="A43" t="s">
        <v>75</v>
      </c>
      <c r="B43" t="s">
        <v>76</v>
      </c>
      <c r="C43" t="s">
        <v>22</v>
      </c>
      <c r="D43">
        <v>203</v>
      </c>
      <c r="E43" t="s">
        <v>23</v>
      </c>
      <c r="F43" t="s">
        <v>77</v>
      </c>
      <c r="G43" s="2">
        <v>45457</v>
      </c>
      <c r="H43">
        <v>92</v>
      </c>
      <c r="I43" s="2">
        <v>12293</v>
      </c>
      <c r="J43" t="s">
        <v>78</v>
      </c>
      <c r="K43" t="s">
        <v>79</v>
      </c>
      <c r="L43" s="6">
        <v>1</v>
      </c>
      <c r="M43" s="6">
        <f t="shared" si="2"/>
        <v>30</v>
      </c>
      <c r="N43" s="4" t="s">
        <v>51</v>
      </c>
      <c r="O43" s="3">
        <v>0.875</v>
      </c>
      <c r="Q43" t="s">
        <v>29</v>
      </c>
    </row>
    <row r="44" spans="1:17" x14ac:dyDescent="0.3">
      <c r="A44" t="s">
        <v>75</v>
      </c>
      <c r="B44" t="s">
        <v>76</v>
      </c>
      <c r="C44" t="s">
        <v>22</v>
      </c>
      <c r="D44">
        <v>203</v>
      </c>
      <c r="E44" t="s">
        <v>23</v>
      </c>
      <c r="F44" t="s">
        <v>77</v>
      </c>
      <c r="G44" s="2">
        <v>45457</v>
      </c>
      <c r="H44">
        <v>92</v>
      </c>
      <c r="I44" s="2">
        <v>12293</v>
      </c>
      <c r="J44" t="s">
        <v>78</v>
      </c>
      <c r="K44" t="s">
        <v>54</v>
      </c>
      <c r="L44" s="6">
        <v>1</v>
      </c>
      <c r="M44" s="6">
        <f t="shared" si="2"/>
        <v>30</v>
      </c>
      <c r="N44" s="4" t="s">
        <v>51</v>
      </c>
      <c r="O44" s="3">
        <v>0.375</v>
      </c>
      <c r="Q44" t="s">
        <v>29</v>
      </c>
    </row>
    <row r="45" spans="1:17" x14ac:dyDescent="0.3">
      <c r="A45" t="s">
        <v>75</v>
      </c>
      <c r="B45" t="s">
        <v>76</v>
      </c>
      <c r="C45" t="s">
        <v>22</v>
      </c>
      <c r="D45">
        <v>203</v>
      </c>
      <c r="E45" t="s">
        <v>23</v>
      </c>
      <c r="F45" t="s">
        <v>77</v>
      </c>
      <c r="G45" s="2">
        <v>45457</v>
      </c>
      <c r="H45">
        <v>92</v>
      </c>
      <c r="I45" s="2">
        <v>12293</v>
      </c>
      <c r="J45" t="s">
        <v>78</v>
      </c>
      <c r="K45" t="s">
        <v>54</v>
      </c>
      <c r="L45" s="6">
        <v>1</v>
      </c>
      <c r="M45" s="6">
        <f t="shared" si="2"/>
        <v>30</v>
      </c>
      <c r="N45" s="4" t="s">
        <v>51</v>
      </c>
      <c r="O45" s="3">
        <v>0.875</v>
      </c>
      <c r="Q45" t="s">
        <v>29</v>
      </c>
    </row>
    <row r="46" spans="1:17" x14ac:dyDescent="0.3">
      <c r="A46" t="s">
        <v>75</v>
      </c>
      <c r="B46" t="s">
        <v>76</v>
      </c>
      <c r="C46" t="s">
        <v>22</v>
      </c>
      <c r="D46">
        <v>203</v>
      </c>
      <c r="E46" t="s">
        <v>23</v>
      </c>
      <c r="F46" t="s">
        <v>77</v>
      </c>
      <c r="G46" s="2">
        <v>45457</v>
      </c>
      <c r="H46">
        <v>92</v>
      </c>
      <c r="I46" s="2">
        <v>12293</v>
      </c>
      <c r="J46" t="s">
        <v>78</v>
      </c>
      <c r="K46" t="s">
        <v>80</v>
      </c>
      <c r="L46" s="6">
        <v>1</v>
      </c>
      <c r="M46" s="6">
        <f t="shared" si="2"/>
        <v>30</v>
      </c>
      <c r="N46" s="4" t="s">
        <v>81</v>
      </c>
      <c r="O46" s="3">
        <v>0.375</v>
      </c>
      <c r="Q46" t="s">
        <v>29</v>
      </c>
    </row>
    <row r="47" spans="1:17" x14ac:dyDescent="0.3">
      <c r="A47" t="s">
        <v>75</v>
      </c>
      <c r="B47" t="s">
        <v>76</v>
      </c>
      <c r="C47" t="s">
        <v>22</v>
      </c>
      <c r="D47">
        <v>203</v>
      </c>
      <c r="E47" t="s">
        <v>23</v>
      </c>
      <c r="F47" t="s">
        <v>77</v>
      </c>
      <c r="G47" s="2">
        <v>45457</v>
      </c>
      <c r="H47">
        <v>92</v>
      </c>
      <c r="I47" s="2">
        <v>12293</v>
      </c>
      <c r="J47" t="s">
        <v>78</v>
      </c>
      <c r="K47" t="s">
        <v>82</v>
      </c>
      <c r="L47" s="6">
        <v>1</v>
      </c>
      <c r="M47" s="6">
        <f t="shared" si="2"/>
        <v>30</v>
      </c>
      <c r="N47" s="4" t="s">
        <v>53</v>
      </c>
      <c r="O47" s="3">
        <v>0.375</v>
      </c>
      <c r="P47" t="s">
        <v>84</v>
      </c>
      <c r="Q47" t="s">
        <v>29</v>
      </c>
    </row>
    <row r="48" spans="1:17" x14ac:dyDescent="0.3">
      <c r="A48" t="s">
        <v>75</v>
      </c>
      <c r="B48" t="s">
        <v>76</v>
      </c>
      <c r="C48" t="s">
        <v>22</v>
      </c>
      <c r="D48">
        <v>203</v>
      </c>
      <c r="E48" t="s">
        <v>23</v>
      </c>
      <c r="F48" t="s">
        <v>77</v>
      </c>
      <c r="G48" s="2">
        <v>45457</v>
      </c>
      <c r="H48">
        <v>92</v>
      </c>
      <c r="I48" s="2">
        <v>12293</v>
      </c>
      <c r="J48" t="s">
        <v>78</v>
      </c>
      <c r="K48" t="s">
        <v>83</v>
      </c>
      <c r="L48" s="6">
        <v>1</v>
      </c>
      <c r="M48" s="6">
        <f t="shared" si="2"/>
        <v>30</v>
      </c>
      <c r="N48" s="4" t="s">
        <v>51</v>
      </c>
      <c r="O48" s="3">
        <v>0.875</v>
      </c>
      <c r="Q48" t="s">
        <v>29</v>
      </c>
    </row>
    <row r="49" spans="1:17" x14ac:dyDescent="0.3">
      <c r="A49" t="s">
        <v>75</v>
      </c>
      <c r="B49" t="s">
        <v>76</v>
      </c>
      <c r="C49" t="s">
        <v>22</v>
      </c>
      <c r="D49">
        <v>203</v>
      </c>
      <c r="E49" t="s">
        <v>23</v>
      </c>
      <c r="F49" t="s">
        <v>77</v>
      </c>
      <c r="G49" s="2">
        <v>45457</v>
      </c>
      <c r="H49">
        <v>92</v>
      </c>
      <c r="I49" s="2">
        <v>12293</v>
      </c>
      <c r="J49" t="s">
        <v>78</v>
      </c>
      <c r="K49" t="s">
        <v>85</v>
      </c>
      <c r="L49" s="6">
        <v>1</v>
      </c>
      <c r="M49" s="6">
        <f t="shared" si="2"/>
        <v>30</v>
      </c>
      <c r="N49" s="4" t="s">
        <v>51</v>
      </c>
      <c r="O49" s="3">
        <v>0.875</v>
      </c>
      <c r="Q49" t="s">
        <v>29</v>
      </c>
    </row>
    <row r="50" spans="1:17" x14ac:dyDescent="0.3">
      <c r="A50" t="s">
        <v>75</v>
      </c>
      <c r="B50" t="s">
        <v>76</v>
      </c>
      <c r="C50" t="s">
        <v>22</v>
      </c>
      <c r="D50">
        <v>203</v>
      </c>
      <c r="E50" t="s">
        <v>23</v>
      </c>
      <c r="F50" t="s">
        <v>77</v>
      </c>
      <c r="G50" s="2">
        <v>45457</v>
      </c>
      <c r="H50">
        <v>92</v>
      </c>
      <c r="I50" s="2">
        <v>12293</v>
      </c>
      <c r="J50" t="s">
        <v>78</v>
      </c>
      <c r="K50" t="s">
        <v>86</v>
      </c>
      <c r="L50" s="6">
        <v>1</v>
      </c>
      <c r="M50" s="6">
        <f t="shared" si="2"/>
        <v>30</v>
      </c>
      <c r="N50" s="4" t="s">
        <v>56</v>
      </c>
      <c r="O50" s="3">
        <v>0.875</v>
      </c>
      <c r="P50" t="s">
        <v>87</v>
      </c>
      <c r="Q50" t="s">
        <v>29</v>
      </c>
    </row>
    <row r="51" spans="1:17" x14ac:dyDescent="0.3">
      <c r="A51" t="s">
        <v>75</v>
      </c>
      <c r="B51" t="s">
        <v>76</v>
      </c>
      <c r="C51" t="s">
        <v>22</v>
      </c>
      <c r="D51">
        <v>203</v>
      </c>
      <c r="E51" t="s">
        <v>23</v>
      </c>
      <c r="F51" t="s">
        <v>77</v>
      </c>
      <c r="G51" s="2">
        <v>45457</v>
      </c>
      <c r="H51">
        <v>92</v>
      </c>
      <c r="I51" s="2">
        <v>12293</v>
      </c>
      <c r="J51" t="s">
        <v>78</v>
      </c>
      <c r="K51" t="s">
        <v>88</v>
      </c>
      <c r="L51" s="6">
        <v>1</v>
      </c>
      <c r="N51" s="4" t="s">
        <v>51</v>
      </c>
      <c r="O51" s="3"/>
      <c r="Q51" t="s">
        <v>74</v>
      </c>
    </row>
    <row r="52" spans="1:17" x14ac:dyDescent="0.3">
      <c r="A52" t="s">
        <v>90</v>
      </c>
      <c r="B52" t="s">
        <v>91</v>
      </c>
      <c r="C52" t="s">
        <v>22</v>
      </c>
      <c r="D52">
        <v>406</v>
      </c>
      <c r="E52" t="s">
        <v>23</v>
      </c>
      <c r="F52" t="s">
        <v>92</v>
      </c>
      <c r="G52" s="2">
        <v>45958</v>
      </c>
      <c r="H52">
        <v>51</v>
      </c>
      <c r="I52" s="2">
        <v>27499</v>
      </c>
      <c r="J52" t="s">
        <v>93</v>
      </c>
      <c r="K52" t="s">
        <v>223</v>
      </c>
      <c r="L52" s="6">
        <v>1</v>
      </c>
      <c r="M52" s="6">
        <f t="shared" ref="M52:M100" si="3">L52*30</f>
        <v>30</v>
      </c>
      <c r="N52" s="4" t="s">
        <v>51</v>
      </c>
      <c r="O52" s="3">
        <v>0.375</v>
      </c>
      <c r="Q52" t="s">
        <v>29</v>
      </c>
    </row>
    <row r="53" spans="1:17" x14ac:dyDescent="0.3">
      <c r="A53" t="s">
        <v>90</v>
      </c>
      <c r="B53" t="s">
        <v>91</v>
      </c>
      <c r="C53" t="s">
        <v>22</v>
      </c>
      <c r="D53">
        <v>406</v>
      </c>
      <c r="E53" t="s">
        <v>23</v>
      </c>
      <c r="F53" t="s">
        <v>92</v>
      </c>
      <c r="G53" s="2">
        <v>45958</v>
      </c>
      <c r="H53">
        <v>51</v>
      </c>
      <c r="I53" s="2">
        <v>27499</v>
      </c>
      <c r="J53" t="s">
        <v>93</v>
      </c>
      <c r="K53" t="s">
        <v>38</v>
      </c>
      <c r="L53" s="6">
        <v>1</v>
      </c>
      <c r="M53" s="6">
        <f t="shared" si="3"/>
        <v>30</v>
      </c>
      <c r="N53" s="4" t="s">
        <v>51</v>
      </c>
      <c r="O53" s="3">
        <v>0.875</v>
      </c>
      <c r="Q53" t="s">
        <v>29</v>
      </c>
    </row>
    <row r="54" spans="1:17" x14ac:dyDescent="0.3">
      <c r="A54" t="s">
        <v>94</v>
      </c>
      <c r="B54" t="s">
        <v>95</v>
      </c>
      <c r="C54" t="s">
        <v>22</v>
      </c>
      <c r="D54">
        <v>217</v>
      </c>
      <c r="E54" t="s">
        <v>23</v>
      </c>
      <c r="F54" t="s">
        <v>96</v>
      </c>
      <c r="G54" s="2">
        <v>44253</v>
      </c>
      <c r="H54">
        <v>96</v>
      </c>
      <c r="I54" s="2">
        <v>10823</v>
      </c>
      <c r="J54" t="s">
        <v>97</v>
      </c>
      <c r="K54" t="s">
        <v>98</v>
      </c>
      <c r="L54" s="6">
        <v>1</v>
      </c>
      <c r="M54" s="6">
        <f t="shared" si="3"/>
        <v>30</v>
      </c>
      <c r="N54" s="4" t="s">
        <v>51</v>
      </c>
      <c r="O54" s="3">
        <v>0.375</v>
      </c>
      <c r="Q54" t="s">
        <v>29</v>
      </c>
    </row>
    <row r="55" spans="1:17" x14ac:dyDescent="0.3">
      <c r="A55" t="s">
        <v>94</v>
      </c>
      <c r="B55" t="s">
        <v>95</v>
      </c>
      <c r="C55" t="s">
        <v>22</v>
      </c>
      <c r="D55">
        <v>217</v>
      </c>
      <c r="E55" t="s">
        <v>23</v>
      </c>
      <c r="F55" t="s">
        <v>96</v>
      </c>
      <c r="G55" s="2">
        <v>44253</v>
      </c>
      <c r="H55">
        <v>96</v>
      </c>
      <c r="I55" s="2">
        <v>10823</v>
      </c>
      <c r="J55" t="s">
        <v>97</v>
      </c>
      <c r="K55" t="s">
        <v>98</v>
      </c>
      <c r="L55" s="6">
        <v>1</v>
      </c>
      <c r="M55" s="6">
        <f t="shared" si="3"/>
        <v>30</v>
      </c>
      <c r="N55" s="4" t="s">
        <v>51</v>
      </c>
      <c r="O55" s="3">
        <v>0.79166666666666663</v>
      </c>
      <c r="Q55" t="s">
        <v>29</v>
      </c>
    </row>
    <row r="56" spans="1:17" x14ac:dyDescent="0.3">
      <c r="A56" t="s">
        <v>94</v>
      </c>
      <c r="B56" t="s">
        <v>95</v>
      </c>
      <c r="C56" t="s">
        <v>22</v>
      </c>
      <c r="D56">
        <v>217</v>
      </c>
      <c r="E56" t="s">
        <v>23</v>
      </c>
      <c r="F56" t="s">
        <v>96</v>
      </c>
      <c r="G56" s="2">
        <v>44253</v>
      </c>
      <c r="H56">
        <v>96</v>
      </c>
      <c r="I56" s="2">
        <v>10823</v>
      </c>
      <c r="J56" t="s">
        <v>97</v>
      </c>
      <c r="K56" t="s">
        <v>99</v>
      </c>
      <c r="L56" s="6">
        <v>1</v>
      </c>
      <c r="M56" s="6">
        <f t="shared" si="3"/>
        <v>30</v>
      </c>
      <c r="N56" s="4" t="s">
        <v>51</v>
      </c>
      <c r="O56" s="3">
        <v>0.375</v>
      </c>
      <c r="Q56" t="s">
        <v>29</v>
      </c>
    </row>
    <row r="57" spans="1:17" x14ac:dyDescent="0.3">
      <c r="A57" t="s">
        <v>94</v>
      </c>
      <c r="B57" t="s">
        <v>95</v>
      </c>
      <c r="C57" t="s">
        <v>22</v>
      </c>
      <c r="D57">
        <v>217</v>
      </c>
      <c r="E57" t="s">
        <v>23</v>
      </c>
      <c r="F57" t="s">
        <v>96</v>
      </c>
      <c r="G57" s="2">
        <v>44253</v>
      </c>
      <c r="H57">
        <v>96</v>
      </c>
      <c r="I57" s="2">
        <v>10823</v>
      </c>
      <c r="J57" t="s">
        <v>97</v>
      </c>
      <c r="K57" t="s">
        <v>100</v>
      </c>
      <c r="L57" s="6">
        <v>1</v>
      </c>
      <c r="M57" s="6">
        <f t="shared" si="3"/>
        <v>30</v>
      </c>
      <c r="N57" s="4" t="s">
        <v>53</v>
      </c>
      <c r="O57" s="3">
        <v>0.375</v>
      </c>
      <c r="Q57" t="s">
        <v>29</v>
      </c>
    </row>
    <row r="58" spans="1:17" x14ac:dyDescent="0.3">
      <c r="A58" t="s">
        <v>94</v>
      </c>
      <c r="B58" t="s">
        <v>95</v>
      </c>
      <c r="C58" t="s">
        <v>22</v>
      </c>
      <c r="D58">
        <v>217</v>
      </c>
      <c r="E58" t="s">
        <v>23</v>
      </c>
      <c r="F58" t="s">
        <v>96</v>
      </c>
      <c r="G58" s="2">
        <v>44253</v>
      </c>
      <c r="H58">
        <v>96</v>
      </c>
      <c r="I58" s="2">
        <v>10823</v>
      </c>
      <c r="J58" t="s">
        <v>97</v>
      </c>
      <c r="K58" t="s">
        <v>101</v>
      </c>
      <c r="L58" s="6">
        <v>1</v>
      </c>
      <c r="M58" s="6">
        <f t="shared" si="3"/>
        <v>30</v>
      </c>
      <c r="N58" s="4" t="s">
        <v>81</v>
      </c>
      <c r="O58" s="3">
        <v>0.375</v>
      </c>
      <c r="P58" t="s">
        <v>102</v>
      </c>
      <c r="Q58" t="s">
        <v>29</v>
      </c>
    </row>
    <row r="59" spans="1:17" x14ac:dyDescent="0.3">
      <c r="A59" t="s">
        <v>94</v>
      </c>
      <c r="B59" t="s">
        <v>95</v>
      </c>
      <c r="C59" t="s">
        <v>22</v>
      </c>
      <c r="D59">
        <v>217</v>
      </c>
      <c r="E59" t="s">
        <v>23</v>
      </c>
      <c r="F59" t="s">
        <v>96</v>
      </c>
      <c r="G59" s="2">
        <v>44253</v>
      </c>
      <c r="H59">
        <v>96</v>
      </c>
      <c r="I59" s="2">
        <v>10823</v>
      </c>
      <c r="J59" t="s">
        <v>97</v>
      </c>
      <c r="K59" t="s">
        <v>103</v>
      </c>
      <c r="L59" s="6">
        <v>1</v>
      </c>
      <c r="M59" s="6">
        <f t="shared" si="3"/>
        <v>30</v>
      </c>
      <c r="N59" s="4" t="s">
        <v>51</v>
      </c>
      <c r="O59" s="3">
        <v>0.375</v>
      </c>
      <c r="Q59" t="s">
        <v>29</v>
      </c>
    </row>
    <row r="60" spans="1:17" x14ac:dyDescent="0.3">
      <c r="A60" t="s">
        <v>94</v>
      </c>
      <c r="B60" t="s">
        <v>95</v>
      </c>
      <c r="C60" t="s">
        <v>22</v>
      </c>
      <c r="D60">
        <v>217</v>
      </c>
      <c r="E60" t="s">
        <v>23</v>
      </c>
      <c r="F60" t="s">
        <v>96</v>
      </c>
      <c r="G60" s="2">
        <v>44253</v>
      </c>
      <c r="H60">
        <v>96</v>
      </c>
      <c r="I60" s="2">
        <v>10823</v>
      </c>
      <c r="J60" t="s">
        <v>97</v>
      </c>
      <c r="K60" t="s">
        <v>104</v>
      </c>
      <c r="L60" s="6">
        <v>1.5</v>
      </c>
      <c r="M60" s="6">
        <f t="shared" si="3"/>
        <v>45</v>
      </c>
      <c r="N60" s="4" t="s">
        <v>51</v>
      </c>
      <c r="O60" s="3">
        <v>0.375</v>
      </c>
      <c r="Q60" t="s">
        <v>29</v>
      </c>
    </row>
    <row r="61" spans="1:17" x14ac:dyDescent="0.3">
      <c r="A61" t="s">
        <v>94</v>
      </c>
      <c r="B61" t="s">
        <v>95</v>
      </c>
      <c r="C61" t="s">
        <v>22</v>
      </c>
      <c r="D61">
        <v>217</v>
      </c>
      <c r="E61" t="s">
        <v>23</v>
      </c>
      <c r="F61" t="s">
        <v>96</v>
      </c>
      <c r="G61" s="2">
        <v>44253</v>
      </c>
      <c r="H61">
        <v>96</v>
      </c>
      <c r="I61" s="2">
        <v>10823</v>
      </c>
      <c r="J61" t="s">
        <v>97</v>
      </c>
      <c r="K61" t="s">
        <v>106</v>
      </c>
      <c r="L61" s="6">
        <v>1</v>
      </c>
      <c r="M61" s="6">
        <f t="shared" si="3"/>
        <v>30</v>
      </c>
      <c r="N61" s="4" t="s">
        <v>51</v>
      </c>
      <c r="O61" s="3">
        <v>0.79166666666666663</v>
      </c>
      <c r="Q61" t="s">
        <v>29</v>
      </c>
    </row>
    <row r="62" spans="1:17" x14ac:dyDescent="0.3">
      <c r="A62" t="s">
        <v>94</v>
      </c>
      <c r="B62" t="s">
        <v>95</v>
      </c>
      <c r="C62" t="s">
        <v>22</v>
      </c>
      <c r="D62">
        <v>217</v>
      </c>
      <c r="E62" t="s">
        <v>23</v>
      </c>
      <c r="F62" t="s">
        <v>96</v>
      </c>
      <c r="G62" s="2">
        <v>44253</v>
      </c>
      <c r="H62">
        <v>96</v>
      </c>
      <c r="I62" s="2">
        <v>10823</v>
      </c>
      <c r="J62" t="s">
        <v>97</v>
      </c>
      <c r="K62" t="s">
        <v>105</v>
      </c>
      <c r="L62" s="6">
        <v>2</v>
      </c>
      <c r="M62" s="6">
        <f t="shared" si="3"/>
        <v>60</v>
      </c>
      <c r="N62" s="4" t="s">
        <v>51</v>
      </c>
      <c r="O62" s="3">
        <v>0.79166666666666663</v>
      </c>
      <c r="Q62" t="s">
        <v>29</v>
      </c>
    </row>
    <row r="63" spans="1:17" x14ac:dyDescent="0.3">
      <c r="A63" t="s">
        <v>94</v>
      </c>
      <c r="B63" t="s">
        <v>95</v>
      </c>
      <c r="C63" t="s">
        <v>22</v>
      </c>
      <c r="D63">
        <v>217</v>
      </c>
      <c r="E63" t="s">
        <v>23</v>
      </c>
      <c r="F63" t="s">
        <v>96</v>
      </c>
      <c r="G63" s="2">
        <v>44253</v>
      </c>
      <c r="H63">
        <v>96</v>
      </c>
      <c r="I63" s="2">
        <v>10823</v>
      </c>
      <c r="J63" t="s">
        <v>97</v>
      </c>
      <c r="K63" t="s">
        <v>107</v>
      </c>
      <c r="L63" s="6">
        <v>1</v>
      </c>
      <c r="M63" s="6">
        <f t="shared" si="3"/>
        <v>30</v>
      </c>
      <c r="N63" s="4" t="s">
        <v>51</v>
      </c>
      <c r="O63" s="3">
        <v>0.79166666666666663</v>
      </c>
      <c r="Q63" t="s">
        <v>29</v>
      </c>
    </row>
    <row r="64" spans="1:17" x14ac:dyDescent="0.3">
      <c r="A64" t="s">
        <v>94</v>
      </c>
      <c r="B64" t="s">
        <v>95</v>
      </c>
      <c r="C64" t="s">
        <v>22</v>
      </c>
      <c r="D64">
        <v>217</v>
      </c>
      <c r="E64" t="s">
        <v>23</v>
      </c>
      <c r="F64" t="s">
        <v>96</v>
      </c>
      <c r="G64" s="2">
        <v>44253</v>
      </c>
      <c r="H64">
        <v>96</v>
      </c>
      <c r="I64" s="2">
        <v>10823</v>
      </c>
      <c r="J64" t="s">
        <v>97</v>
      </c>
      <c r="K64" t="s">
        <v>108</v>
      </c>
      <c r="L64" s="6">
        <v>1</v>
      </c>
      <c r="M64" s="6">
        <f t="shared" si="3"/>
        <v>30</v>
      </c>
      <c r="N64" s="4" t="s">
        <v>51</v>
      </c>
      <c r="O64" s="3">
        <v>0.875</v>
      </c>
      <c r="Q64" t="s">
        <v>29</v>
      </c>
    </row>
    <row r="65" spans="1:17" x14ac:dyDescent="0.3">
      <c r="A65" t="s">
        <v>94</v>
      </c>
      <c r="B65" t="s">
        <v>95</v>
      </c>
      <c r="C65" t="s">
        <v>22</v>
      </c>
      <c r="D65">
        <v>217</v>
      </c>
      <c r="E65" t="s">
        <v>23</v>
      </c>
      <c r="F65" t="s">
        <v>96</v>
      </c>
      <c r="G65" s="2">
        <v>44253</v>
      </c>
      <c r="H65">
        <v>96</v>
      </c>
      <c r="I65" s="2">
        <v>10823</v>
      </c>
      <c r="J65" t="s">
        <v>97</v>
      </c>
      <c r="K65" t="s">
        <v>72</v>
      </c>
      <c r="L65" s="6">
        <v>10</v>
      </c>
      <c r="M65" s="6">
        <f t="shared" si="3"/>
        <v>300</v>
      </c>
      <c r="N65" s="4" t="s">
        <v>56</v>
      </c>
      <c r="O65" s="3"/>
      <c r="P65" t="s">
        <v>109</v>
      </c>
      <c r="Q65" t="s">
        <v>29</v>
      </c>
    </row>
    <row r="66" spans="1:17" x14ac:dyDescent="0.3">
      <c r="A66" t="s">
        <v>110</v>
      </c>
      <c r="B66" t="s">
        <v>111</v>
      </c>
      <c r="C66" t="s">
        <v>112</v>
      </c>
      <c r="D66">
        <v>206</v>
      </c>
      <c r="E66" t="s">
        <v>23</v>
      </c>
      <c r="F66" t="s">
        <v>113</v>
      </c>
      <c r="G66" s="2">
        <v>44834</v>
      </c>
      <c r="H66">
        <v>72</v>
      </c>
      <c r="I66" s="2">
        <v>19533</v>
      </c>
      <c r="J66" t="s">
        <v>114</v>
      </c>
      <c r="K66" t="s">
        <v>115</v>
      </c>
      <c r="L66" s="6">
        <v>1</v>
      </c>
      <c r="M66" s="6">
        <f t="shared" si="3"/>
        <v>30</v>
      </c>
      <c r="N66" s="4" t="s">
        <v>51</v>
      </c>
      <c r="O66" s="3">
        <v>0.29166666666666669</v>
      </c>
      <c r="Q66" t="s">
        <v>29</v>
      </c>
    </row>
    <row r="67" spans="1:17" x14ac:dyDescent="0.3">
      <c r="A67" t="s">
        <v>110</v>
      </c>
      <c r="B67" t="s">
        <v>111</v>
      </c>
      <c r="C67" t="s">
        <v>112</v>
      </c>
      <c r="D67">
        <v>206</v>
      </c>
      <c r="E67" t="s">
        <v>23</v>
      </c>
      <c r="F67" t="s">
        <v>113</v>
      </c>
      <c r="G67" s="2">
        <v>44834</v>
      </c>
      <c r="H67">
        <v>72</v>
      </c>
      <c r="I67" s="2">
        <v>19533</v>
      </c>
      <c r="J67" t="s">
        <v>114</v>
      </c>
      <c r="K67" t="s">
        <v>170</v>
      </c>
      <c r="L67" s="6">
        <v>1</v>
      </c>
      <c r="M67" s="6">
        <f t="shared" si="3"/>
        <v>30</v>
      </c>
      <c r="N67" s="4" t="s">
        <v>51</v>
      </c>
      <c r="O67" s="3">
        <v>0.375</v>
      </c>
      <c r="Q67" t="s">
        <v>29</v>
      </c>
    </row>
    <row r="68" spans="1:17" x14ac:dyDescent="0.3">
      <c r="A68" t="s">
        <v>110</v>
      </c>
      <c r="B68" t="s">
        <v>111</v>
      </c>
      <c r="C68" t="s">
        <v>112</v>
      </c>
      <c r="D68">
        <v>206</v>
      </c>
      <c r="E68" t="s">
        <v>23</v>
      </c>
      <c r="F68" t="s">
        <v>113</v>
      </c>
      <c r="G68" s="2">
        <v>44834</v>
      </c>
      <c r="H68">
        <v>72</v>
      </c>
      <c r="I68" s="2">
        <v>19533</v>
      </c>
      <c r="J68" t="s">
        <v>114</v>
      </c>
      <c r="K68" t="s">
        <v>116</v>
      </c>
      <c r="L68" s="6">
        <v>1</v>
      </c>
      <c r="M68" s="6">
        <f t="shared" si="3"/>
        <v>30</v>
      </c>
      <c r="N68" s="4" t="s">
        <v>51</v>
      </c>
      <c r="O68" s="3">
        <v>0.375</v>
      </c>
      <c r="Q68" t="s">
        <v>29</v>
      </c>
    </row>
    <row r="69" spans="1:17" x14ac:dyDescent="0.3">
      <c r="A69" t="s">
        <v>110</v>
      </c>
      <c r="B69" t="s">
        <v>111</v>
      </c>
      <c r="C69" t="s">
        <v>112</v>
      </c>
      <c r="D69">
        <v>206</v>
      </c>
      <c r="E69" t="s">
        <v>23</v>
      </c>
      <c r="F69" t="s">
        <v>113</v>
      </c>
      <c r="G69" s="2">
        <v>44834</v>
      </c>
      <c r="H69">
        <v>72</v>
      </c>
      <c r="I69" s="2">
        <v>19533</v>
      </c>
      <c r="J69" t="s">
        <v>114</v>
      </c>
      <c r="K69" t="s">
        <v>117</v>
      </c>
      <c r="L69" s="6">
        <v>1</v>
      </c>
      <c r="M69" s="6">
        <f t="shared" si="3"/>
        <v>30</v>
      </c>
      <c r="N69" s="4" t="s">
        <v>51</v>
      </c>
      <c r="O69" s="3">
        <v>0.375</v>
      </c>
      <c r="Q69" t="s">
        <v>29</v>
      </c>
    </row>
    <row r="70" spans="1:17" x14ac:dyDescent="0.3">
      <c r="A70" t="s">
        <v>110</v>
      </c>
      <c r="B70" t="s">
        <v>111</v>
      </c>
      <c r="C70" t="s">
        <v>112</v>
      </c>
      <c r="D70">
        <v>206</v>
      </c>
      <c r="E70" t="s">
        <v>23</v>
      </c>
      <c r="F70" t="s">
        <v>113</v>
      </c>
      <c r="G70" s="2">
        <v>44834</v>
      </c>
      <c r="H70">
        <v>72</v>
      </c>
      <c r="I70" s="2">
        <v>19533</v>
      </c>
      <c r="J70" t="s">
        <v>114</v>
      </c>
      <c r="K70" t="s">
        <v>118</v>
      </c>
      <c r="L70" s="6">
        <v>1</v>
      </c>
      <c r="M70" s="6">
        <f t="shared" si="3"/>
        <v>30</v>
      </c>
      <c r="N70" s="4" t="s">
        <v>119</v>
      </c>
      <c r="O70" s="3">
        <v>0.54166666666666663</v>
      </c>
      <c r="P70" t="s">
        <v>120</v>
      </c>
      <c r="Q70" t="s">
        <v>29</v>
      </c>
    </row>
    <row r="71" spans="1:17" x14ac:dyDescent="0.3">
      <c r="A71" t="s">
        <v>110</v>
      </c>
      <c r="B71" t="s">
        <v>111</v>
      </c>
      <c r="C71" t="s">
        <v>112</v>
      </c>
      <c r="D71">
        <v>206</v>
      </c>
      <c r="E71" t="s">
        <v>23</v>
      </c>
      <c r="F71" t="s">
        <v>113</v>
      </c>
      <c r="G71" s="2">
        <v>44834</v>
      </c>
      <c r="H71">
        <v>72</v>
      </c>
      <c r="I71" s="2">
        <v>19533</v>
      </c>
      <c r="J71" t="s">
        <v>114</v>
      </c>
      <c r="K71" t="s">
        <v>121</v>
      </c>
      <c r="L71" s="6">
        <v>1</v>
      </c>
      <c r="M71" s="6">
        <f t="shared" si="3"/>
        <v>30</v>
      </c>
      <c r="N71" s="4" t="s">
        <v>51</v>
      </c>
      <c r="O71" s="3">
        <v>0.54166666666666663</v>
      </c>
      <c r="Q71" t="s">
        <v>29</v>
      </c>
    </row>
    <row r="72" spans="1:17" x14ac:dyDescent="0.3">
      <c r="A72" t="s">
        <v>110</v>
      </c>
      <c r="B72" t="s">
        <v>111</v>
      </c>
      <c r="C72" t="s">
        <v>112</v>
      </c>
      <c r="D72">
        <v>206</v>
      </c>
      <c r="E72" t="s">
        <v>23</v>
      </c>
      <c r="F72" t="s">
        <v>113</v>
      </c>
      <c r="G72" s="2">
        <v>44834</v>
      </c>
      <c r="H72">
        <v>72</v>
      </c>
      <c r="I72" s="2">
        <v>19533</v>
      </c>
      <c r="J72" t="s">
        <v>114</v>
      </c>
      <c r="K72" t="s">
        <v>122</v>
      </c>
      <c r="L72" s="6">
        <v>1</v>
      </c>
      <c r="M72" s="6">
        <f t="shared" si="3"/>
        <v>30</v>
      </c>
      <c r="N72" s="4" t="s">
        <v>51</v>
      </c>
      <c r="O72" s="3">
        <v>0.875</v>
      </c>
      <c r="Q72" t="s">
        <v>29</v>
      </c>
    </row>
    <row r="73" spans="1:17" x14ac:dyDescent="0.3">
      <c r="A73" t="s">
        <v>110</v>
      </c>
      <c r="B73" t="s">
        <v>111</v>
      </c>
      <c r="C73" t="s">
        <v>112</v>
      </c>
      <c r="D73">
        <v>206</v>
      </c>
      <c r="E73" t="s">
        <v>23</v>
      </c>
      <c r="F73" t="s">
        <v>113</v>
      </c>
      <c r="G73" s="2">
        <v>44834</v>
      </c>
      <c r="H73">
        <v>72</v>
      </c>
      <c r="I73" s="2">
        <v>19533</v>
      </c>
      <c r="J73" t="s">
        <v>114</v>
      </c>
      <c r="K73" t="s">
        <v>123</v>
      </c>
      <c r="L73" s="6">
        <v>0.5</v>
      </c>
      <c r="M73" s="6">
        <f t="shared" si="3"/>
        <v>15</v>
      </c>
      <c r="N73" s="4" t="s">
        <v>51</v>
      </c>
      <c r="O73" s="3">
        <v>0.875</v>
      </c>
      <c r="Q73" t="s">
        <v>29</v>
      </c>
    </row>
    <row r="74" spans="1:17" x14ac:dyDescent="0.3">
      <c r="A74" t="s">
        <v>124</v>
      </c>
      <c r="B74" t="s">
        <v>125</v>
      </c>
      <c r="C74" t="s">
        <v>22</v>
      </c>
      <c r="D74">
        <v>405</v>
      </c>
      <c r="E74" t="s">
        <v>23</v>
      </c>
      <c r="F74" t="s">
        <v>126</v>
      </c>
      <c r="G74" s="2">
        <v>46048</v>
      </c>
      <c r="H74">
        <v>84</v>
      </c>
      <c r="I74" s="2">
        <v>15438</v>
      </c>
      <c r="J74" t="s">
        <v>127</v>
      </c>
      <c r="K74" t="s">
        <v>128</v>
      </c>
      <c r="L74" s="6">
        <v>2</v>
      </c>
      <c r="M74" s="6">
        <f t="shared" si="3"/>
        <v>60</v>
      </c>
      <c r="N74" s="4" t="s">
        <v>129</v>
      </c>
      <c r="O74" s="3">
        <v>0</v>
      </c>
      <c r="P74" t="s">
        <v>130</v>
      </c>
      <c r="Q74" t="s">
        <v>29</v>
      </c>
    </row>
    <row r="75" spans="1:17" x14ac:dyDescent="0.3">
      <c r="A75" t="s">
        <v>124</v>
      </c>
      <c r="B75" t="s">
        <v>125</v>
      </c>
      <c r="C75" t="s">
        <v>22</v>
      </c>
      <c r="D75">
        <v>405</v>
      </c>
      <c r="E75" t="s">
        <v>23</v>
      </c>
      <c r="F75" t="s">
        <v>126</v>
      </c>
      <c r="G75" s="2">
        <v>46048</v>
      </c>
      <c r="H75">
        <v>84</v>
      </c>
      <c r="I75" s="2">
        <v>15438</v>
      </c>
      <c r="J75" t="s">
        <v>127</v>
      </c>
      <c r="K75" t="s">
        <v>128</v>
      </c>
      <c r="L75" s="6">
        <v>2</v>
      </c>
      <c r="M75" s="6">
        <f t="shared" si="3"/>
        <v>60</v>
      </c>
      <c r="N75" s="4" t="s">
        <v>129</v>
      </c>
      <c r="O75" s="3">
        <v>0.25</v>
      </c>
      <c r="P75" t="s">
        <v>130</v>
      </c>
      <c r="Q75" t="s">
        <v>29</v>
      </c>
    </row>
    <row r="76" spans="1:17" x14ac:dyDescent="0.3">
      <c r="A76" t="s">
        <v>124</v>
      </c>
      <c r="B76" t="s">
        <v>125</v>
      </c>
      <c r="C76" t="s">
        <v>22</v>
      </c>
      <c r="D76">
        <v>405</v>
      </c>
      <c r="E76" t="s">
        <v>23</v>
      </c>
      <c r="F76" t="s">
        <v>126</v>
      </c>
      <c r="G76" s="2">
        <v>46048</v>
      </c>
      <c r="H76">
        <v>84</v>
      </c>
      <c r="I76" s="2">
        <v>15438</v>
      </c>
      <c r="J76" t="s">
        <v>127</v>
      </c>
      <c r="K76" t="s">
        <v>128</v>
      </c>
      <c r="L76" s="6">
        <v>2</v>
      </c>
      <c r="M76" s="6">
        <f t="shared" si="3"/>
        <v>60</v>
      </c>
      <c r="N76" s="4" t="s">
        <v>129</v>
      </c>
      <c r="O76" s="3">
        <v>0.5</v>
      </c>
      <c r="P76" t="s">
        <v>130</v>
      </c>
      <c r="Q76" t="s">
        <v>29</v>
      </c>
    </row>
    <row r="77" spans="1:17" x14ac:dyDescent="0.3">
      <c r="A77" t="s">
        <v>124</v>
      </c>
      <c r="B77" t="s">
        <v>125</v>
      </c>
      <c r="C77" t="s">
        <v>22</v>
      </c>
      <c r="D77">
        <v>405</v>
      </c>
      <c r="E77" t="s">
        <v>23</v>
      </c>
      <c r="F77" t="s">
        <v>126</v>
      </c>
      <c r="G77" s="2">
        <v>46048</v>
      </c>
      <c r="H77">
        <v>84</v>
      </c>
      <c r="I77" s="2">
        <v>15438</v>
      </c>
      <c r="J77" t="s">
        <v>127</v>
      </c>
      <c r="K77" t="s">
        <v>128</v>
      </c>
      <c r="L77" s="6">
        <v>2</v>
      </c>
      <c r="M77" s="6">
        <f t="shared" si="3"/>
        <v>60</v>
      </c>
      <c r="N77" s="4" t="s">
        <v>129</v>
      </c>
      <c r="O77" s="3">
        <v>0.75</v>
      </c>
      <c r="P77" t="s">
        <v>130</v>
      </c>
      <c r="Q77" t="s">
        <v>29</v>
      </c>
    </row>
    <row r="78" spans="1:17" x14ac:dyDescent="0.3">
      <c r="A78" t="s">
        <v>124</v>
      </c>
      <c r="B78" t="s">
        <v>125</v>
      </c>
      <c r="C78" t="s">
        <v>22</v>
      </c>
      <c r="D78">
        <v>405</v>
      </c>
      <c r="E78" t="s">
        <v>23</v>
      </c>
      <c r="F78" t="s">
        <v>126</v>
      </c>
      <c r="G78" s="2">
        <v>46048</v>
      </c>
      <c r="H78">
        <v>84</v>
      </c>
      <c r="I78" s="2">
        <v>15438</v>
      </c>
      <c r="J78" t="s">
        <v>127</v>
      </c>
      <c r="K78" t="s">
        <v>131</v>
      </c>
      <c r="L78" s="6">
        <v>14</v>
      </c>
      <c r="M78" s="6">
        <f t="shared" si="3"/>
        <v>420</v>
      </c>
      <c r="N78" s="4" t="s">
        <v>65</v>
      </c>
      <c r="O78" s="3">
        <v>0.29166666666666669</v>
      </c>
      <c r="Q78" t="s">
        <v>29</v>
      </c>
    </row>
    <row r="79" spans="1:17" x14ac:dyDescent="0.3">
      <c r="A79" t="s">
        <v>124</v>
      </c>
      <c r="B79" t="s">
        <v>125</v>
      </c>
      <c r="C79" t="s">
        <v>22</v>
      </c>
      <c r="D79">
        <v>405</v>
      </c>
      <c r="E79" t="s">
        <v>23</v>
      </c>
      <c r="F79" t="s">
        <v>126</v>
      </c>
      <c r="G79" s="2">
        <v>46048</v>
      </c>
      <c r="H79">
        <v>84</v>
      </c>
      <c r="I79" s="2">
        <v>15438</v>
      </c>
      <c r="J79" t="s">
        <v>127</v>
      </c>
      <c r="K79" t="s">
        <v>48</v>
      </c>
      <c r="L79" s="6">
        <v>1</v>
      </c>
      <c r="M79" s="6">
        <f t="shared" si="3"/>
        <v>30</v>
      </c>
      <c r="N79" s="4" t="s">
        <v>53</v>
      </c>
      <c r="O79" s="3">
        <v>0.29166666666666669</v>
      </c>
      <c r="Q79" t="s">
        <v>29</v>
      </c>
    </row>
    <row r="80" spans="1:17" x14ac:dyDescent="0.3">
      <c r="A80" t="s">
        <v>124</v>
      </c>
      <c r="B80" t="s">
        <v>125</v>
      </c>
      <c r="C80" t="s">
        <v>22</v>
      </c>
      <c r="D80">
        <v>405</v>
      </c>
      <c r="E80" t="s">
        <v>23</v>
      </c>
      <c r="F80" t="s">
        <v>126</v>
      </c>
      <c r="G80" s="2">
        <v>46048</v>
      </c>
      <c r="H80">
        <v>84</v>
      </c>
      <c r="I80" s="2">
        <v>15438</v>
      </c>
      <c r="J80" t="s">
        <v>127</v>
      </c>
      <c r="K80" t="s">
        <v>132</v>
      </c>
      <c r="L80" s="6">
        <v>1</v>
      </c>
      <c r="M80" s="6">
        <f t="shared" si="3"/>
        <v>30</v>
      </c>
      <c r="N80" s="4" t="s">
        <v>51</v>
      </c>
      <c r="O80" s="3">
        <v>0.29166666666666669</v>
      </c>
      <c r="Q80" t="s">
        <v>29</v>
      </c>
    </row>
    <row r="81" spans="1:17" x14ac:dyDescent="0.3">
      <c r="A81" t="s">
        <v>124</v>
      </c>
      <c r="B81" t="s">
        <v>125</v>
      </c>
      <c r="C81" t="s">
        <v>22</v>
      </c>
      <c r="D81">
        <v>405</v>
      </c>
      <c r="E81" t="s">
        <v>23</v>
      </c>
      <c r="F81" t="s">
        <v>126</v>
      </c>
      <c r="G81" s="2">
        <v>46048</v>
      </c>
      <c r="H81">
        <v>84</v>
      </c>
      <c r="I81" s="2">
        <v>15438</v>
      </c>
      <c r="J81" t="s">
        <v>127</v>
      </c>
      <c r="K81" t="s">
        <v>133</v>
      </c>
      <c r="L81" s="6">
        <v>7</v>
      </c>
      <c r="M81" s="6">
        <f t="shared" si="3"/>
        <v>210</v>
      </c>
      <c r="N81" s="4" t="s">
        <v>56</v>
      </c>
      <c r="O81" s="3">
        <v>0.375</v>
      </c>
      <c r="Q81" t="s">
        <v>29</v>
      </c>
    </row>
    <row r="82" spans="1:17" x14ac:dyDescent="0.3">
      <c r="A82" t="s">
        <v>124</v>
      </c>
      <c r="B82" t="s">
        <v>125</v>
      </c>
      <c r="C82" t="s">
        <v>22</v>
      </c>
      <c r="D82">
        <v>405</v>
      </c>
      <c r="E82" t="s">
        <v>23</v>
      </c>
      <c r="F82" t="s">
        <v>126</v>
      </c>
      <c r="G82" s="2">
        <v>46048</v>
      </c>
      <c r="H82">
        <v>84</v>
      </c>
      <c r="I82" s="2">
        <v>15438</v>
      </c>
      <c r="J82" t="s">
        <v>127</v>
      </c>
      <c r="K82" t="s">
        <v>133</v>
      </c>
      <c r="L82" s="6">
        <v>7</v>
      </c>
      <c r="M82" s="6">
        <f t="shared" si="3"/>
        <v>210</v>
      </c>
      <c r="N82" s="4" t="s">
        <v>56</v>
      </c>
      <c r="O82" s="3">
        <v>0.625</v>
      </c>
      <c r="Q82" t="s">
        <v>29</v>
      </c>
    </row>
    <row r="83" spans="1:17" x14ac:dyDescent="0.3">
      <c r="A83" t="s">
        <v>124</v>
      </c>
      <c r="B83" t="s">
        <v>125</v>
      </c>
      <c r="C83" t="s">
        <v>22</v>
      </c>
      <c r="D83">
        <v>405</v>
      </c>
      <c r="E83" t="s">
        <v>23</v>
      </c>
      <c r="F83" t="s">
        <v>126</v>
      </c>
      <c r="G83" s="2">
        <v>46048</v>
      </c>
      <c r="H83">
        <v>84</v>
      </c>
      <c r="I83" s="2">
        <v>15438</v>
      </c>
      <c r="J83" t="s">
        <v>127</v>
      </c>
      <c r="K83" t="s">
        <v>134</v>
      </c>
      <c r="L83" s="6">
        <v>0.25</v>
      </c>
      <c r="M83" s="6">
        <f t="shared" si="3"/>
        <v>7.5</v>
      </c>
      <c r="N83" s="4" t="s">
        <v>51</v>
      </c>
      <c r="O83" s="3">
        <v>0.375</v>
      </c>
      <c r="Q83" t="s">
        <v>29</v>
      </c>
    </row>
    <row r="84" spans="1:17" x14ac:dyDescent="0.3">
      <c r="A84" t="s">
        <v>124</v>
      </c>
      <c r="B84" t="s">
        <v>125</v>
      </c>
      <c r="C84" t="s">
        <v>22</v>
      </c>
      <c r="D84">
        <v>405</v>
      </c>
      <c r="E84" t="s">
        <v>23</v>
      </c>
      <c r="F84" t="s">
        <v>126</v>
      </c>
      <c r="G84" s="2">
        <v>46048</v>
      </c>
      <c r="H84">
        <v>84</v>
      </c>
      <c r="I84" s="2">
        <v>15438</v>
      </c>
      <c r="J84" t="s">
        <v>127</v>
      </c>
      <c r="K84" t="s">
        <v>134</v>
      </c>
      <c r="L84" s="6">
        <v>0.25</v>
      </c>
      <c r="M84" s="6">
        <f t="shared" si="3"/>
        <v>7.5</v>
      </c>
      <c r="N84" s="4" t="s">
        <v>51</v>
      </c>
      <c r="O84" s="3">
        <v>0.625</v>
      </c>
      <c r="Q84" t="s">
        <v>29</v>
      </c>
    </row>
    <row r="85" spans="1:17" x14ac:dyDescent="0.3">
      <c r="A85" t="s">
        <v>124</v>
      </c>
      <c r="B85" t="s">
        <v>125</v>
      </c>
      <c r="C85" t="s">
        <v>22</v>
      </c>
      <c r="D85">
        <v>405</v>
      </c>
      <c r="E85" t="s">
        <v>23</v>
      </c>
      <c r="F85" t="s">
        <v>126</v>
      </c>
      <c r="G85" s="2">
        <v>46048</v>
      </c>
      <c r="H85">
        <v>84</v>
      </c>
      <c r="I85" s="2">
        <v>15438</v>
      </c>
      <c r="J85" t="s">
        <v>127</v>
      </c>
      <c r="K85" t="s">
        <v>135</v>
      </c>
      <c r="L85" s="6">
        <v>1</v>
      </c>
      <c r="M85" s="6">
        <f t="shared" si="3"/>
        <v>30</v>
      </c>
      <c r="N85" s="4" t="s">
        <v>56</v>
      </c>
      <c r="O85" s="3">
        <v>0.375</v>
      </c>
      <c r="P85" t="s">
        <v>59</v>
      </c>
      <c r="Q85" t="s">
        <v>29</v>
      </c>
    </row>
    <row r="86" spans="1:17" x14ac:dyDescent="0.3">
      <c r="A86" t="s">
        <v>124</v>
      </c>
      <c r="B86" t="s">
        <v>125</v>
      </c>
      <c r="C86" t="s">
        <v>22</v>
      </c>
      <c r="D86">
        <v>405</v>
      </c>
      <c r="E86" t="s">
        <v>23</v>
      </c>
      <c r="F86" t="s">
        <v>126</v>
      </c>
      <c r="G86" s="2">
        <v>46048</v>
      </c>
      <c r="H86">
        <v>84</v>
      </c>
      <c r="I86" s="2">
        <v>15438</v>
      </c>
      <c r="J86" t="s">
        <v>127</v>
      </c>
      <c r="K86" t="s">
        <v>135</v>
      </c>
      <c r="L86" s="6">
        <v>1</v>
      </c>
      <c r="M86" s="6">
        <f t="shared" si="3"/>
        <v>30</v>
      </c>
      <c r="N86" s="4" t="s">
        <v>56</v>
      </c>
      <c r="O86" s="3">
        <v>0.875</v>
      </c>
      <c r="P86" t="s">
        <v>59</v>
      </c>
      <c r="Q86" t="s">
        <v>29</v>
      </c>
    </row>
    <row r="87" spans="1:17" x14ac:dyDescent="0.3">
      <c r="A87" t="s">
        <v>124</v>
      </c>
      <c r="B87" t="s">
        <v>125</v>
      </c>
      <c r="C87" t="s">
        <v>22</v>
      </c>
      <c r="D87">
        <v>405</v>
      </c>
      <c r="E87" t="s">
        <v>23</v>
      </c>
      <c r="F87" t="s">
        <v>126</v>
      </c>
      <c r="G87" s="2">
        <v>46048</v>
      </c>
      <c r="H87">
        <v>84</v>
      </c>
      <c r="I87" s="2">
        <v>15438</v>
      </c>
      <c r="J87" t="s">
        <v>127</v>
      </c>
      <c r="K87" t="s">
        <v>170</v>
      </c>
      <c r="L87" s="6">
        <v>1</v>
      </c>
      <c r="M87" s="6">
        <f t="shared" si="3"/>
        <v>30</v>
      </c>
      <c r="N87" s="4" t="s">
        <v>51</v>
      </c>
      <c r="O87" s="3">
        <v>0.375</v>
      </c>
      <c r="Q87" t="s">
        <v>29</v>
      </c>
    </row>
    <row r="88" spans="1:17" x14ac:dyDescent="0.3">
      <c r="A88" t="s">
        <v>124</v>
      </c>
      <c r="B88" t="s">
        <v>125</v>
      </c>
      <c r="C88" t="s">
        <v>22</v>
      </c>
      <c r="D88">
        <v>405</v>
      </c>
      <c r="E88" t="s">
        <v>23</v>
      </c>
      <c r="F88" t="s">
        <v>126</v>
      </c>
      <c r="G88" s="2">
        <v>46048</v>
      </c>
      <c r="H88">
        <v>84</v>
      </c>
      <c r="I88" s="2">
        <v>15438</v>
      </c>
      <c r="J88" t="s">
        <v>127</v>
      </c>
      <c r="K88" t="s">
        <v>170</v>
      </c>
      <c r="L88" s="6">
        <v>1</v>
      </c>
      <c r="M88" s="6">
        <f t="shared" si="3"/>
        <v>30</v>
      </c>
      <c r="N88" s="4" t="s">
        <v>51</v>
      </c>
      <c r="O88" s="3">
        <v>0.875</v>
      </c>
      <c r="Q88" t="s">
        <v>29</v>
      </c>
    </row>
    <row r="89" spans="1:17" x14ac:dyDescent="0.3">
      <c r="A89" t="s">
        <v>124</v>
      </c>
      <c r="B89" t="s">
        <v>125</v>
      </c>
      <c r="C89" t="s">
        <v>22</v>
      </c>
      <c r="D89">
        <v>405</v>
      </c>
      <c r="E89" t="s">
        <v>23</v>
      </c>
      <c r="F89" t="s">
        <v>126</v>
      </c>
      <c r="G89" s="2">
        <v>46048</v>
      </c>
      <c r="H89">
        <v>84</v>
      </c>
      <c r="I89" s="2">
        <v>15438</v>
      </c>
      <c r="J89" t="s">
        <v>127</v>
      </c>
      <c r="K89" t="s">
        <v>101</v>
      </c>
      <c r="L89" s="6">
        <v>1</v>
      </c>
      <c r="M89" s="6">
        <f t="shared" si="3"/>
        <v>30</v>
      </c>
      <c r="N89" s="4" t="s">
        <v>81</v>
      </c>
      <c r="O89" s="3">
        <v>0.375</v>
      </c>
      <c r="Q89" t="s">
        <v>29</v>
      </c>
    </row>
    <row r="90" spans="1:17" x14ac:dyDescent="0.3">
      <c r="A90" t="s">
        <v>124</v>
      </c>
      <c r="B90" t="s">
        <v>125</v>
      </c>
      <c r="C90" t="s">
        <v>22</v>
      </c>
      <c r="D90">
        <v>405</v>
      </c>
      <c r="E90" t="s">
        <v>23</v>
      </c>
      <c r="F90" t="s">
        <v>126</v>
      </c>
      <c r="G90" s="2">
        <v>46048</v>
      </c>
      <c r="H90">
        <v>84</v>
      </c>
      <c r="I90" s="2">
        <v>15438</v>
      </c>
      <c r="J90" t="s">
        <v>127</v>
      </c>
      <c r="K90" t="s">
        <v>54</v>
      </c>
      <c r="L90" s="6">
        <v>1</v>
      </c>
      <c r="M90" s="6">
        <f t="shared" si="3"/>
        <v>30</v>
      </c>
      <c r="N90" s="4" t="s">
        <v>51</v>
      </c>
      <c r="O90" s="3">
        <v>0.375</v>
      </c>
      <c r="Q90" t="s">
        <v>29</v>
      </c>
    </row>
    <row r="91" spans="1:17" x14ac:dyDescent="0.3">
      <c r="A91" t="s">
        <v>124</v>
      </c>
      <c r="B91" t="s">
        <v>125</v>
      </c>
      <c r="C91" t="s">
        <v>22</v>
      </c>
      <c r="D91">
        <v>405</v>
      </c>
      <c r="E91" t="s">
        <v>23</v>
      </c>
      <c r="F91" t="s">
        <v>126</v>
      </c>
      <c r="G91" s="2">
        <v>46048</v>
      </c>
      <c r="H91">
        <v>84</v>
      </c>
      <c r="I91" s="2">
        <v>15438</v>
      </c>
      <c r="J91" t="s">
        <v>127</v>
      </c>
      <c r="K91" t="s">
        <v>136</v>
      </c>
      <c r="L91" s="6">
        <v>1</v>
      </c>
      <c r="M91" s="6">
        <f t="shared" si="3"/>
        <v>30</v>
      </c>
      <c r="N91" s="4" t="s">
        <v>51</v>
      </c>
      <c r="O91" s="3">
        <v>0.375</v>
      </c>
      <c r="Q91" t="s">
        <v>29</v>
      </c>
    </row>
    <row r="92" spans="1:17" x14ac:dyDescent="0.3">
      <c r="A92" t="s">
        <v>124</v>
      </c>
      <c r="B92" t="s">
        <v>125</v>
      </c>
      <c r="C92" t="s">
        <v>22</v>
      </c>
      <c r="D92">
        <v>405</v>
      </c>
      <c r="E92" t="s">
        <v>23</v>
      </c>
      <c r="F92" t="s">
        <v>126</v>
      </c>
      <c r="G92" s="2">
        <v>46048</v>
      </c>
      <c r="H92">
        <v>84</v>
      </c>
      <c r="I92" s="2">
        <v>15438</v>
      </c>
      <c r="J92" t="s">
        <v>127</v>
      </c>
      <c r="K92" t="s">
        <v>137</v>
      </c>
      <c r="L92" s="6">
        <v>1</v>
      </c>
      <c r="M92" s="6">
        <f t="shared" si="3"/>
        <v>30</v>
      </c>
      <c r="N92" s="4" t="s">
        <v>51</v>
      </c>
      <c r="O92" s="3">
        <v>0.54166666666666663</v>
      </c>
      <c r="Q92" t="s">
        <v>29</v>
      </c>
    </row>
    <row r="93" spans="1:17" x14ac:dyDescent="0.3">
      <c r="A93" t="s">
        <v>124</v>
      </c>
      <c r="B93" t="s">
        <v>125</v>
      </c>
      <c r="C93" t="s">
        <v>22</v>
      </c>
      <c r="D93">
        <v>405</v>
      </c>
      <c r="E93" t="s">
        <v>23</v>
      </c>
      <c r="F93" t="s">
        <v>126</v>
      </c>
      <c r="G93" s="2">
        <v>46048</v>
      </c>
      <c r="H93">
        <v>84</v>
      </c>
      <c r="I93" s="2">
        <v>15438</v>
      </c>
      <c r="J93" t="s">
        <v>127</v>
      </c>
      <c r="K93" t="s">
        <v>138</v>
      </c>
      <c r="L93" s="6">
        <v>1</v>
      </c>
      <c r="M93" s="6">
        <f t="shared" si="3"/>
        <v>30</v>
      </c>
      <c r="N93" s="4" t="s">
        <v>51</v>
      </c>
      <c r="O93" s="3">
        <v>0.75</v>
      </c>
      <c r="Q93" t="s">
        <v>29</v>
      </c>
    </row>
    <row r="94" spans="1:17" x14ac:dyDescent="0.3">
      <c r="A94" t="s">
        <v>124</v>
      </c>
      <c r="B94" t="s">
        <v>125</v>
      </c>
      <c r="C94" t="s">
        <v>22</v>
      </c>
      <c r="D94">
        <v>405</v>
      </c>
      <c r="E94" t="s">
        <v>23</v>
      </c>
      <c r="F94" t="s">
        <v>126</v>
      </c>
      <c r="G94" s="2">
        <v>46048</v>
      </c>
      <c r="H94">
        <v>84</v>
      </c>
      <c r="I94" s="2">
        <v>15438</v>
      </c>
      <c r="J94" t="s">
        <v>127</v>
      </c>
      <c r="K94" t="s">
        <v>139</v>
      </c>
      <c r="L94" s="6">
        <v>1</v>
      </c>
      <c r="M94" s="6">
        <f t="shared" si="3"/>
        <v>30</v>
      </c>
      <c r="N94" s="4" t="s">
        <v>56</v>
      </c>
      <c r="O94" s="3">
        <v>0.79166666666666663</v>
      </c>
      <c r="P94" t="s">
        <v>59</v>
      </c>
      <c r="Q94" t="s">
        <v>29</v>
      </c>
    </row>
    <row r="95" spans="1:17" x14ac:dyDescent="0.3">
      <c r="A95" t="s">
        <v>124</v>
      </c>
      <c r="B95" t="s">
        <v>125</v>
      </c>
      <c r="C95" t="s">
        <v>22</v>
      </c>
      <c r="D95">
        <v>405</v>
      </c>
      <c r="E95" t="s">
        <v>23</v>
      </c>
      <c r="F95" t="s">
        <v>126</v>
      </c>
      <c r="G95" s="2">
        <v>46048</v>
      </c>
      <c r="H95">
        <v>84</v>
      </c>
      <c r="I95" s="2">
        <v>15438</v>
      </c>
      <c r="J95" t="s">
        <v>127</v>
      </c>
      <c r="K95" t="s">
        <v>38</v>
      </c>
      <c r="L95" s="6">
        <v>1</v>
      </c>
      <c r="M95" s="6">
        <f t="shared" si="3"/>
        <v>30</v>
      </c>
      <c r="N95" s="4" t="s">
        <v>51</v>
      </c>
      <c r="O95" s="3">
        <v>0.875</v>
      </c>
      <c r="Q95" t="s">
        <v>29</v>
      </c>
    </row>
    <row r="96" spans="1:17" x14ac:dyDescent="0.3">
      <c r="A96" t="s">
        <v>124</v>
      </c>
      <c r="B96" t="s">
        <v>125</v>
      </c>
      <c r="C96" t="s">
        <v>22</v>
      </c>
      <c r="D96">
        <v>405</v>
      </c>
      <c r="E96" t="s">
        <v>23</v>
      </c>
      <c r="F96" t="s">
        <v>126</v>
      </c>
      <c r="G96" s="2">
        <v>46048</v>
      </c>
      <c r="H96">
        <v>84</v>
      </c>
      <c r="I96" s="2">
        <v>15438</v>
      </c>
      <c r="J96" t="s">
        <v>127</v>
      </c>
      <c r="K96" t="s">
        <v>88</v>
      </c>
      <c r="L96" s="6">
        <v>1</v>
      </c>
      <c r="M96" s="6">
        <f t="shared" si="3"/>
        <v>30</v>
      </c>
      <c r="N96" s="4" t="s">
        <v>51</v>
      </c>
      <c r="O96" s="3">
        <v>0.875</v>
      </c>
      <c r="Q96" t="s">
        <v>29</v>
      </c>
    </row>
    <row r="97" spans="1:17" x14ac:dyDescent="0.3">
      <c r="A97" t="s">
        <v>124</v>
      </c>
      <c r="B97" t="s">
        <v>125</v>
      </c>
      <c r="C97" t="s">
        <v>22</v>
      </c>
      <c r="D97">
        <v>405</v>
      </c>
      <c r="E97" t="s">
        <v>23</v>
      </c>
      <c r="F97" t="s">
        <v>126</v>
      </c>
      <c r="G97" s="2">
        <v>46048</v>
      </c>
      <c r="H97">
        <v>84</v>
      </c>
      <c r="I97" s="2">
        <v>15438</v>
      </c>
      <c r="J97" t="s">
        <v>127</v>
      </c>
      <c r="K97" t="s">
        <v>134</v>
      </c>
      <c r="L97" s="6">
        <v>0.75</v>
      </c>
      <c r="M97" s="6">
        <f t="shared" si="3"/>
        <v>22.5</v>
      </c>
      <c r="N97" s="4" t="s">
        <v>51</v>
      </c>
      <c r="O97" s="3">
        <v>0.875</v>
      </c>
      <c r="Q97" t="s">
        <v>29</v>
      </c>
    </row>
    <row r="98" spans="1:17" x14ac:dyDescent="0.3">
      <c r="A98" t="s">
        <v>124</v>
      </c>
      <c r="B98" t="s">
        <v>125</v>
      </c>
      <c r="C98" t="s">
        <v>22</v>
      </c>
      <c r="D98">
        <v>405</v>
      </c>
      <c r="E98" t="s">
        <v>23</v>
      </c>
      <c r="F98" t="s">
        <v>126</v>
      </c>
      <c r="G98" s="2">
        <v>46048</v>
      </c>
      <c r="H98">
        <v>84</v>
      </c>
      <c r="I98" s="2">
        <v>15438</v>
      </c>
      <c r="J98" t="s">
        <v>127</v>
      </c>
      <c r="K98" t="s">
        <v>140</v>
      </c>
      <c r="L98" s="6">
        <v>0.75</v>
      </c>
      <c r="M98" s="6">
        <f t="shared" si="3"/>
        <v>22.5</v>
      </c>
      <c r="N98" s="4" t="s">
        <v>51</v>
      </c>
      <c r="O98" s="3">
        <v>0.875</v>
      </c>
      <c r="Q98" t="s">
        <v>29</v>
      </c>
    </row>
    <row r="99" spans="1:17" x14ac:dyDescent="0.3">
      <c r="A99" t="s">
        <v>124</v>
      </c>
      <c r="B99" t="s">
        <v>125</v>
      </c>
      <c r="C99" t="s">
        <v>22</v>
      </c>
      <c r="D99">
        <v>405</v>
      </c>
      <c r="E99" t="s">
        <v>23</v>
      </c>
      <c r="F99" t="s">
        <v>126</v>
      </c>
      <c r="G99" s="2">
        <v>46048</v>
      </c>
      <c r="H99">
        <v>84</v>
      </c>
      <c r="I99" s="2">
        <v>15438</v>
      </c>
      <c r="J99" t="s">
        <v>127</v>
      </c>
      <c r="K99" t="s">
        <v>141</v>
      </c>
      <c r="L99" s="6">
        <v>1</v>
      </c>
      <c r="M99" s="6">
        <f t="shared" si="3"/>
        <v>30</v>
      </c>
      <c r="N99" s="4" t="s">
        <v>51</v>
      </c>
      <c r="O99" s="3">
        <v>0.875</v>
      </c>
      <c r="Q99" t="s">
        <v>29</v>
      </c>
    </row>
    <row r="100" spans="1:17" x14ac:dyDescent="0.3">
      <c r="A100" t="s">
        <v>124</v>
      </c>
      <c r="B100" t="s">
        <v>125</v>
      </c>
      <c r="C100" t="s">
        <v>22</v>
      </c>
      <c r="D100">
        <v>405</v>
      </c>
      <c r="E100" t="s">
        <v>23</v>
      </c>
      <c r="F100" t="s">
        <v>126</v>
      </c>
      <c r="G100" s="2">
        <v>46048</v>
      </c>
      <c r="H100">
        <v>84</v>
      </c>
      <c r="I100" s="2">
        <v>15438</v>
      </c>
      <c r="J100" t="s">
        <v>127</v>
      </c>
      <c r="K100" t="s">
        <v>133</v>
      </c>
      <c r="L100" s="6">
        <v>18</v>
      </c>
      <c r="M100" s="6">
        <f t="shared" si="3"/>
        <v>540</v>
      </c>
      <c r="N100" s="4" t="s">
        <v>56</v>
      </c>
      <c r="O100" s="3">
        <v>0.875</v>
      </c>
      <c r="Q100" t="s">
        <v>29</v>
      </c>
    </row>
    <row r="101" spans="1:17" x14ac:dyDescent="0.3">
      <c r="A101" t="s">
        <v>124</v>
      </c>
      <c r="B101" t="s">
        <v>125</v>
      </c>
      <c r="C101" t="s">
        <v>22</v>
      </c>
      <c r="D101">
        <v>405</v>
      </c>
      <c r="E101" t="s">
        <v>23</v>
      </c>
      <c r="F101" t="s">
        <v>126</v>
      </c>
      <c r="G101" s="2">
        <v>46048</v>
      </c>
      <c r="H101">
        <v>84</v>
      </c>
      <c r="I101" s="2">
        <v>15438</v>
      </c>
      <c r="J101" t="s">
        <v>127</v>
      </c>
      <c r="K101" t="s">
        <v>142</v>
      </c>
      <c r="L101" s="6">
        <v>1</v>
      </c>
      <c r="N101" s="4" t="s">
        <v>51</v>
      </c>
      <c r="O101" s="3"/>
      <c r="Q101" t="s">
        <v>74</v>
      </c>
    </row>
    <row r="102" spans="1:17" x14ac:dyDescent="0.3">
      <c r="A102" t="s">
        <v>124</v>
      </c>
      <c r="B102" t="s">
        <v>125</v>
      </c>
      <c r="C102" t="s">
        <v>22</v>
      </c>
      <c r="D102">
        <v>405</v>
      </c>
      <c r="E102" t="s">
        <v>23</v>
      </c>
      <c r="F102" t="s">
        <v>126</v>
      </c>
      <c r="G102" s="2">
        <v>46048</v>
      </c>
      <c r="H102">
        <v>84</v>
      </c>
      <c r="I102" s="2">
        <v>15438</v>
      </c>
      <c r="J102" t="s">
        <v>127</v>
      </c>
      <c r="K102" t="s">
        <v>143</v>
      </c>
      <c r="L102" s="6">
        <v>0.5</v>
      </c>
      <c r="N102" s="4" t="s">
        <v>51</v>
      </c>
      <c r="O102" s="3"/>
      <c r="P102" t="s">
        <v>144</v>
      </c>
      <c r="Q102" t="s">
        <v>74</v>
      </c>
    </row>
    <row r="103" spans="1:17" x14ac:dyDescent="0.3">
      <c r="A103" t="s">
        <v>145</v>
      </c>
      <c r="B103" t="s">
        <v>146</v>
      </c>
      <c r="C103" t="s">
        <v>22</v>
      </c>
      <c r="D103">
        <v>402</v>
      </c>
      <c r="E103" t="s">
        <v>23</v>
      </c>
      <c r="F103" t="s">
        <v>147</v>
      </c>
      <c r="G103" s="2">
        <v>46085</v>
      </c>
      <c r="H103">
        <v>66</v>
      </c>
      <c r="I103" s="2">
        <v>21774</v>
      </c>
      <c r="J103" t="s">
        <v>148</v>
      </c>
      <c r="K103" t="s">
        <v>149</v>
      </c>
      <c r="L103" s="6">
        <v>1</v>
      </c>
      <c r="M103" s="6">
        <f t="shared" ref="M103:M112" si="4">L103*30</f>
        <v>30</v>
      </c>
      <c r="N103" s="4" t="s">
        <v>51</v>
      </c>
      <c r="O103" s="3">
        <v>0.29166666666666669</v>
      </c>
      <c r="Q103" t="s">
        <v>29</v>
      </c>
    </row>
    <row r="104" spans="1:17" x14ac:dyDescent="0.3">
      <c r="A104" t="s">
        <v>145</v>
      </c>
      <c r="B104" t="s">
        <v>146</v>
      </c>
      <c r="C104" t="s">
        <v>22</v>
      </c>
      <c r="D104">
        <v>402</v>
      </c>
      <c r="E104" t="s">
        <v>23</v>
      </c>
      <c r="F104" t="s">
        <v>147</v>
      </c>
      <c r="G104" s="2">
        <v>46085</v>
      </c>
      <c r="H104">
        <v>66</v>
      </c>
      <c r="I104" s="2">
        <v>21774</v>
      </c>
      <c r="J104" t="s">
        <v>148</v>
      </c>
      <c r="K104" t="s">
        <v>151</v>
      </c>
      <c r="L104" s="6">
        <v>1</v>
      </c>
      <c r="M104" s="6">
        <f t="shared" si="4"/>
        <v>30</v>
      </c>
      <c r="N104" s="4" t="s">
        <v>53</v>
      </c>
      <c r="O104" s="3">
        <v>0.375</v>
      </c>
      <c r="Q104" t="s">
        <v>29</v>
      </c>
    </row>
    <row r="105" spans="1:17" x14ac:dyDescent="0.3">
      <c r="A105" t="s">
        <v>145</v>
      </c>
      <c r="B105" t="s">
        <v>146</v>
      </c>
      <c r="C105" t="s">
        <v>22</v>
      </c>
      <c r="D105">
        <v>402</v>
      </c>
      <c r="E105" t="s">
        <v>23</v>
      </c>
      <c r="F105" t="s">
        <v>147</v>
      </c>
      <c r="G105" s="2">
        <v>46085</v>
      </c>
      <c r="H105">
        <v>66</v>
      </c>
      <c r="I105" s="2">
        <v>21774</v>
      </c>
      <c r="J105" t="s">
        <v>148</v>
      </c>
      <c r="K105" t="s">
        <v>151</v>
      </c>
      <c r="L105" s="6">
        <v>1</v>
      </c>
      <c r="M105" s="6">
        <f t="shared" si="4"/>
        <v>30</v>
      </c>
      <c r="N105" s="4" t="s">
        <v>53</v>
      </c>
      <c r="O105" s="3">
        <v>0.875</v>
      </c>
      <c r="Q105" t="s">
        <v>29</v>
      </c>
    </row>
    <row r="106" spans="1:17" x14ac:dyDescent="0.3">
      <c r="A106" t="s">
        <v>145</v>
      </c>
      <c r="B106" t="s">
        <v>146</v>
      </c>
      <c r="C106" t="s">
        <v>22</v>
      </c>
      <c r="D106">
        <v>402</v>
      </c>
      <c r="E106" t="s">
        <v>23</v>
      </c>
      <c r="F106" t="s">
        <v>147</v>
      </c>
      <c r="G106" s="2">
        <v>46085</v>
      </c>
      <c r="H106">
        <v>66</v>
      </c>
      <c r="I106" s="2">
        <v>21774</v>
      </c>
      <c r="J106" t="s">
        <v>148</v>
      </c>
      <c r="K106" t="s">
        <v>153</v>
      </c>
      <c r="L106" s="6">
        <v>1</v>
      </c>
      <c r="M106" s="6">
        <f t="shared" si="4"/>
        <v>30</v>
      </c>
      <c r="N106" s="4" t="s">
        <v>53</v>
      </c>
      <c r="O106" s="3">
        <v>0.375</v>
      </c>
      <c r="Q106" t="s">
        <v>29</v>
      </c>
    </row>
    <row r="107" spans="1:17" x14ac:dyDescent="0.3">
      <c r="A107" t="s">
        <v>145</v>
      </c>
      <c r="B107" t="s">
        <v>146</v>
      </c>
      <c r="C107" t="s">
        <v>22</v>
      </c>
      <c r="D107">
        <v>402</v>
      </c>
      <c r="E107" t="s">
        <v>23</v>
      </c>
      <c r="F107" t="s">
        <v>147</v>
      </c>
      <c r="G107" s="2">
        <v>46085</v>
      </c>
      <c r="H107">
        <v>66</v>
      </c>
      <c r="I107" s="2">
        <v>21774</v>
      </c>
      <c r="J107" t="s">
        <v>148</v>
      </c>
      <c r="K107" t="s">
        <v>153</v>
      </c>
      <c r="L107" s="6">
        <v>1</v>
      </c>
      <c r="M107" s="6">
        <f t="shared" si="4"/>
        <v>30</v>
      </c>
      <c r="N107" s="4" t="s">
        <v>53</v>
      </c>
      <c r="O107" s="3">
        <v>0.875</v>
      </c>
      <c r="Q107" t="s">
        <v>29</v>
      </c>
    </row>
    <row r="108" spans="1:17" x14ac:dyDescent="0.3">
      <c r="A108" t="s">
        <v>145</v>
      </c>
      <c r="B108" t="s">
        <v>146</v>
      </c>
      <c r="C108" t="s">
        <v>22</v>
      </c>
      <c r="D108">
        <v>402</v>
      </c>
      <c r="E108" t="s">
        <v>23</v>
      </c>
      <c r="F108" t="s">
        <v>147</v>
      </c>
      <c r="G108" s="2">
        <v>46085</v>
      </c>
      <c r="H108">
        <v>66</v>
      </c>
      <c r="I108" s="2">
        <v>21774</v>
      </c>
      <c r="J108" t="s">
        <v>148</v>
      </c>
      <c r="K108" t="s">
        <v>155</v>
      </c>
      <c r="L108" s="6">
        <v>1</v>
      </c>
      <c r="M108" s="6">
        <f t="shared" si="4"/>
        <v>30</v>
      </c>
      <c r="N108" s="4" t="s">
        <v>51</v>
      </c>
      <c r="O108" s="3">
        <v>0.375</v>
      </c>
      <c r="Q108" t="s">
        <v>29</v>
      </c>
    </row>
    <row r="109" spans="1:17" x14ac:dyDescent="0.3">
      <c r="A109" t="s">
        <v>145</v>
      </c>
      <c r="B109" t="s">
        <v>146</v>
      </c>
      <c r="C109" t="s">
        <v>22</v>
      </c>
      <c r="D109">
        <v>402</v>
      </c>
      <c r="E109" t="s">
        <v>23</v>
      </c>
      <c r="F109" t="s">
        <v>147</v>
      </c>
      <c r="G109" s="2">
        <v>46085</v>
      </c>
      <c r="H109">
        <v>66</v>
      </c>
      <c r="I109" s="2">
        <v>21774</v>
      </c>
      <c r="J109" t="s">
        <v>148</v>
      </c>
      <c r="K109" t="s">
        <v>154</v>
      </c>
      <c r="L109" s="6">
        <v>1</v>
      </c>
      <c r="M109" s="6">
        <f t="shared" si="4"/>
        <v>30</v>
      </c>
      <c r="N109" s="4" t="s">
        <v>53</v>
      </c>
      <c r="O109" s="3">
        <v>0.375</v>
      </c>
      <c r="Q109" t="s">
        <v>29</v>
      </c>
    </row>
    <row r="110" spans="1:17" x14ac:dyDescent="0.3">
      <c r="A110" t="s">
        <v>145</v>
      </c>
      <c r="B110" t="s">
        <v>146</v>
      </c>
      <c r="C110" t="s">
        <v>22</v>
      </c>
      <c r="D110">
        <v>402</v>
      </c>
      <c r="E110" t="s">
        <v>23</v>
      </c>
      <c r="F110" t="s">
        <v>147</v>
      </c>
      <c r="G110" s="2">
        <v>46085</v>
      </c>
      <c r="H110">
        <v>66</v>
      </c>
      <c r="I110" s="2">
        <v>21774</v>
      </c>
      <c r="J110" t="s">
        <v>148</v>
      </c>
      <c r="K110" t="s">
        <v>117</v>
      </c>
      <c r="L110" s="6">
        <v>2</v>
      </c>
      <c r="M110" s="6">
        <f t="shared" si="4"/>
        <v>60</v>
      </c>
      <c r="N110" s="4" t="s">
        <v>51</v>
      </c>
      <c r="O110" s="3">
        <v>0.375</v>
      </c>
      <c r="Q110" t="s">
        <v>29</v>
      </c>
    </row>
    <row r="111" spans="1:17" x14ac:dyDescent="0.3">
      <c r="A111" t="s">
        <v>145</v>
      </c>
      <c r="B111" t="s">
        <v>146</v>
      </c>
      <c r="C111" t="s">
        <v>22</v>
      </c>
      <c r="D111">
        <v>402</v>
      </c>
      <c r="E111" t="s">
        <v>23</v>
      </c>
      <c r="F111" t="s">
        <v>147</v>
      </c>
      <c r="G111" s="2">
        <v>46085</v>
      </c>
      <c r="H111">
        <v>66</v>
      </c>
      <c r="I111" s="2">
        <v>21774</v>
      </c>
      <c r="J111" t="s">
        <v>148</v>
      </c>
      <c r="K111" t="s">
        <v>156</v>
      </c>
      <c r="L111" s="6">
        <v>1</v>
      </c>
      <c r="M111" s="6">
        <f t="shared" si="4"/>
        <v>30</v>
      </c>
      <c r="N111" s="4" t="s">
        <v>51</v>
      </c>
      <c r="O111" s="3">
        <v>0.375</v>
      </c>
      <c r="Q111" t="s">
        <v>29</v>
      </c>
    </row>
    <row r="112" spans="1:17" x14ac:dyDescent="0.3">
      <c r="A112" t="s">
        <v>145</v>
      </c>
      <c r="B112" t="s">
        <v>146</v>
      </c>
      <c r="C112" t="s">
        <v>22</v>
      </c>
      <c r="D112">
        <v>402</v>
      </c>
      <c r="E112" t="s">
        <v>23</v>
      </c>
      <c r="F112" t="s">
        <v>147</v>
      </c>
      <c r="G112" s="2">
        <v>46085</v>
      </c>
      <c r="H112">
        <v>66</v>
      </c>
      <c r="I112" s="2">
        <v>21774</v>
      </c>
      <c r="J112" t="s">
        <v>148</v>
      </c>
      <c r="K112" t="s">
        <v>108</v>
      </c>
      <c r="L112" s="6">
        <v>1</v>
      </c>
      <c r="M112" s="6">
        <f t="shared" si="4"/>
        <v>30</v>
      </c>
      <c r="N112" s="4" t="s">
        <v>51</v>
      </c>
      <c r="O112" s="3">
        <v>0.875</v>
      </c>
      <c r="Q112" t="s">
        <v>29</v>
      </c>
    </row>
    <row r="113" spans="1:17" x14ac:dyDescent="0.3">
      <c r="A113" t="s">
        <v>145</v>
      </c>
      <c r="B113" t="s">
        <v>146</v>
      </c>
      <c r="C113" t="s">
        <v>22</v>
      </c>
      <c r="D113">
        <v>402</v>
      </c>
      <c r="E113" t="s">
        <v>23</v>
      </c>
      <c r="F113" t="s">
        <v>147</v>
      </c>
      <c r="G113" s="2">
        <v>46085</v>
      </c>
      <c r="H113">
        <v>66</v>
      </c>
      <c r="I113" s="2">
        <v>21774</v>
      </c>
      <c r="J113" t="s">
        <v>148</v>
      </c>
      <c r="K113" t="s">
        <v>80</v>
      </c>
      <c r="L113" s="6">
        <v>1</v>
      </c>
      <c r="N113" s="4" t="s">
        <v>81</v>
      </c>
      <c r="P113" t="s">
        <v>157</v>
      </c>
      <c r="Q113" t="s">
        <v>74</v>
      </c>
    </row>
    <row r="114" spans="1:17" x14ac:dyDescent="0.3">
      <c r="A114" t="s">
        <v>145</v>
      </c>
      <c r="B114" t="s">
        <v>146</v>
      </c>
      <c r="C114" t="s">
        <v>22</v>
      </c>
      <c r="D114">
        <v>402</v>
      </c>
      <c r="E114" t="s">
        <v>23</v>
      </c>
      <c r="F114" t="s">
        <v>147</v>
      </c>
      <c r="G114" s="2">
        <v>46085</v>
      </c>
      <c r="H114">
        <v>66</v>
      </c>
      <c r="I114" s="2">
        <v>21774</v>
      </c>
      <c r="J114" t="s">
        <v>148</v>
      </c>
      <c r="K114" t="s">
        <v>158</v>
      </c>
      <c r="L114" s="6">
        <v>1</v>
      </c>
      <c r="N114" s="4" t="s">
        <v>51</v>
      </c>
      <c r="O114" s="3">
        <v>0.875</v>
      </c>
      <c r="Q114" t="s">
        <v>74</v>
      </c>
    </row>
    <row r="115" spans="1:17" x14ac:dyDescent="0.3">
      <c r="A115" t="s">
        <v>145</v>
      </c>
      <c r="B115" t="s">
        <v>146</v>
      </c>
      <c r="C115" t="s">
        <v>22</v>
      </c>
      <c r="D115">
        <v>402</v>
      </c>
      <c r="E115" t="s">
        <v>23</v>
      </c>
      <c r="F115" t="s">
        <v>147</v>
      </c>
      <c r="G115" s="2">
        <v>46085</v>
      </c>
      <c r="H115">
        <v>66</v>
      </c>
      <c r="I115" s="2">
        <v>21774</v>
      </c>
      <c r="J115" t="s">
        <v>148</v>
      </c>
      <c r="K115" t="s">
        <v>108</v>
      </c>
      <c r="L115" s="6">
        <v>1</v>
      </c>
      <c r="N115" s="4" t="s">
        <v>51</v>
      </c>
      <c r="P115" t="s">
        <v>159</v>
      </c>
      <c r="Q115" t="s">
        <v>74</v>
      </c>
    </row>
    <row r="116" spans="1:17" x14ac:dyDescent="0.3">
      <c r="A116" t="s">
        <v>160</v>
      </c>
      <c r="B116" t="s">
        <v>161</v>
      </c>
      <c r="C116" t="s">
        <v>22</v>
      </c>
      <c r="D116">
        <v>201</v>
      </c>
      <c r="E116" t="s">
        <v>23</v>
      </c>
      <c r="F116" t="s">
        <v>162</v>
      </c>
      <c r="G116" s="2">
        <v>45462</v>
      </c>
      <c r="H116">
        <v>57</v>
      </c>
      <c r="I116" s="2">
        <v>25355</v>
      </c>
      <c r="J116" t="s">
        <v>163</v>
      </c>
      <c r="K116" t="s">
        <v>164</v>
      </c>
      <c r="L116" s="6">
        <v>1</v>
      </c>
      <c r="M116" s="6">
        <f t="shared" ref="M116:M137" si="5">L116*30</f>
        <v>30</v>
      </c>
      <c r="N116" s="4" t="s">
        <v>51</v>
      </c>
      <c r="O116" s="3">
        <v>0.29166666666666669</v>
      </c>
      <c r="Q116" t="s">
        <v>29</v>
      </c>
    </row>
    <row r="117" spans="1:17" x14ac:dyDescent="0.3">
      <c r="A117" t="s">
        <v>160</v>
      </c>
      <c r="B117" t="s">
        <v>161</v>
      </c>
      <c r="C117" t="s">
        <v>22</v>
      </c>
      <c r="D117">
        <v>201</v>
      </c>
      <c r="E117" t="s">
        <v>23</v>
      </c>
      <c r="F117" t="s">
        <v>162</v>
      </c>
      <c r="G117" s="2">
        <v>45462</v>
      </c>
      <c r="H117">
        <v>57</v>
      </c>
      <c r="I117" s="2">
        <v>25355</v>
      </c>
      <c r="J117" t="s">
        <v>163</v>
      </c>
      <c r="K117" t="s">
        <v>164</v>
      </c>
      <c r="L117" s="6">
        <v>1</v>
      </c>
      <c r="M117" s="6">
        <f t="shared" si="5"/>
        <v>30</v>
      </c>
      <c r="N117" s="4" t="s">
        <v>51</v>
      </c>
      <c r="O117" s="3">
        <v>0.625</v>
      </c>
      <c r="Q117" t="s">
        <v>29</v>
      </c>
    </row>
    <row r="118" spans="1:17" x14ac:dyDescent="0.3">
      <c r="A118" t="s">
        <v>160</v>
      </c>
      <c r="B118" t="s">
        <v>161</v>
      </c>
      <c r="C118" t="s">
        <v>22</v>
      </c>
      <c r="D118">
        <v>201</v>
      </c>
      <c r="E118" t="s">
        <v>23</v>
      </c>
      <c r="F118" t="s">
        <v>162</v>
      </c>
      <c r="G118" s="2">
        <v>45462</v>
      </c>
      <c r="H118">
        <v>57</v>
      </c>
      <c r="I118" s="2">
        <v>25355</v>
      </c>
      <c r="J118" t="s">
        <v>163</v>
      </c>
      <c r="K118" t="s">
        <v>164</v>
      </c>
      <c r="L118" s="6">
        <v>1</v>
      </c>
      <c r="M118" s="6">
        <f t="shared" si="5"/>
        <v>30</v>
      </c>
      <c r="N118" s="4" t="s">
        <v>51</v>
      </c>
      <c r="O118" s="3">
        <v>0.95833333333333337</v>
      </c>
      <c r="Q118" t="s">
        <v>29</v>
      </c>
    </row>
    <row r="119" spans="1:17" x14ac:dyDescent="0.3">
      <c r="A119" t="s">
        <v>160</v>
      </c>
      <c r="B119" t="s">
        <v>161</v>
      </c>
      <c r="C119" t="s">
        <v>22</v>
      </c>
      <c r="D119">
        <v>201</v>
      </c>
      <c r="E119" t="s">
        <v>23</v>
      </c>
      <c r="F119" t="s">
        <v>162</v>
      </c>
      <c r="G119" s="2">
        <v>45462</v>
      </c>
      <c r="H119">
        <v>57</v>
      </c>
      <c r="I119" s="2">
        <v>25355</v>
      </c>
      <c r="J119" t="s">
        <v>163</v>
      </c>
      <c r="K119" t="s">
        <v>165</v>
      </c>
      <c r="L119" s="6">
        <v>2</v>
      </c>
      <c r="M119" s="6">
        <f t="shared" si="5"/>
        <v>60</v>
      </c>
      <c r="N119" s="4" t="s">
        <v>51</v>
      </c>
      <c r="O119" s="3">
        <v>0.29166666666666669</v>
      </c>
      <c r="Q119" t="s">
        <v>29</v>
      </c>
    </row>
    <row r="120" spans="1:17" x14ac:dyDescent="0.3">
      <c r="A120" t="s">
        <v>160</v>
      </c>
      <c r="B120" t="s">
        <v>161</v>
      </c>
      <c r="C120" t="s">
        <v>22</v>
      </c>
      <c r="D120">
        <v>201</v>
      </c>
      <c r="E120" t="s">
        <v>23</v>
      </c>
      <c r="F120" t="s">
        <v>162</v>
      </c>
      <c r="G120" s="2">
        <v>45462</v>
      </c>
      <c r="H120">
        <v>57</v>
      </c>
      <c r="I120" s="2">
        <v>25355</v>
      </c>
      <c r="J120" t="s">
        <v>163</v>
      </c>
      <c r="K120" t="s">
        <v>165</v>
      </c>
      <c r="L120" s="6">
        <v>2</v>
      </c>
      <c r="M120" s="6">
        <f t="shared" si="5"/>
        <v>60</v>
      </c>
      <c r="N120" s="4" t="s">
        <v>51</v>
      </c>
      <c r="O120" s="3">
        <v>0.625</v>
      </c>
      <c r="Q120" t="s">
        <v>29</v>
      </c>
    </row>
    <row r="121" spans="1:17" x14ac:dyDescent="0.3">
      <c r="A121" t="s">
        <v>160</v>
      </c>
      <c r="B121" t="s">
        <v>161</v>
      </c>
      <c r="C121" t="s">
        <v>22</v>
      </c>
      <c r="D121">
        <v>201</v>
      </c>
      <c r="E121" t="s">
        <v>23</v>
      </c>
      <c r="F121" t="s">
        <v>162</v>
      </c>
      <c r="G121" s="2">
        <v>45462</v>
      </c>
      <c r="H121">
        <v>57</v>
      </c>
      <c r="I121" s="2">
        <v>25355</v>
      </c>
      <c r="J121" t="s">
        <v>163</v>
      </c>
      <c r="K121" t="s">
        <v>165</v>
      </c>
      <c r="L121" s="6">
        <v>2</v>
      </c>
      <c r="M121" s="6">
        <f t="shared" si="5"/>
        <v>60</v>
      </c>
      <c r="N121" s="4" t="s">
        <v>51</v>
      </c>
      <c r="O121" s="3">
        <v>0.95833333333333337</v>
      </c>
      <c r="Q121" t="s">
        <v>29</v>
      </c>
    </row>
    <row r="122" spans="1:17" x14ac:dyDescent="0.3">
      <c r="A122" t="s">
        <v>160</v>
      </c>
      <c r="B122" t="s">
        <v>161</v>
      </c>
      <c r="C122" t="s">
        <v>22</v>
      </c>
      <c r="D122">
        <v>201</v>
      </c>
      <c r="E122" t="s">
        <v>23</v>
      </c>
      <c r="F122" t="s">
        <v>162</v>
      </c>
      <c r="G122" s="2">
        <v>45462</v>
      </c>
      <c r="H122">
        <v>57</v>
      </c>
      <c r="I122" s="2">
        <v>25355</v>
      </c>
      <c r="J122" t="s">
        <v>163</v>
      </c>
      <c r="K122" t="s">
        <v>166</v>
      </c>
      <c r="L122" s="6">
        <v>1</v>
      </c>
      <c r="M122" s="6">
        <f t="shared" si="5"/>
        <v>30</v>
      </c>
      <c r="N122" s="4" t="s">
        <v>51</v>
      </c>
      <c r="O122" s="3">
        <v>0.29166666666666669</v>
      </c>
      <c r="Q122" t="s">
        <v>29</v>
      </c>
    </row>
    <row r="123" spans="1:17" x14ac:dyDescent="0.3">
      <c r="A123" t="s">
        <v>160</v>
      </c>
      <c r="B123" t="s">
        <v>161</v>
      </c>
      <c r="C123" t="s">
        <v>22</v>
      </c>
      <c r="D123">
        <v>201</v>
      </c>
      <c r="E123" t="s">
        <v>23</v>
      </c>
      <c r="F123" t="s">
        <v>162</v>
      </c>
      <c r="G123" s="2">
        <v>45462</v>
      </c>
      <c r="H123">
        <v>57</v>
      </c>
      <c r="I123" s="2">
        <v>25355</v>
      </c>
      <c r="J123" t="s">
        <v>163</v>
      </c>
      <c r="K123" t="s">
        <v>153</v>
      </c>
      <c r="L123" s="6">
        <v>1</v>
      </c>
      <c r="M123" s="6">
        <f t="shared" si="5"/>
        <v>30</v>
      </c>
      <c r="N123" s="4" t="s">
        <v>53</v>
      </c>
      <c r="O123" s="3">
        <v>0.375</v>
      </c>
      <c r="P123" t="s">
        <v>167</v>
      </c>
      <c r="Q123" t="s">
        <v>29</v>
      </c>
    </row>
    <row r="124" spans="1:17" x14ac:dyDescent="0.3">
      <c r="A124" t="s">
        <v>160</v>
      </c>
      <c r="B124" t="s">
        <v>161</v>
      </c>
      <c r="C124" t="s">
        <v>22</v>
      </c>
      <c r="D124">
        <v>201</v>
      </c>
      <c r="E124" t="s">
        <v>23</v>
      </c>
      <c r="F124" t="s">
        <v>162</v>
      </c>
      <c r="G124" s="2">
        <v>45462</v>
      </c>
      <c r="H124">
        <v>57</v>
      </c>
      <c r="I124" s="2">
        <v>25355</v>
      </c>
      <c r="J124" t="s">
        <v>163</v>
      </c>
      <c r="K124" t="s">
        <v>153</v>
      </c>
      <c r="L124" s="6">
        <v>1</v>
      </c>
      <c r="M124" s="6">
        <f t="shared" si="5"/>
        <v>30</v>
      </c>
      <c r="N124" s="4" t="s">
        <v>53</v>
      </c>
      <c r="O124" s="3">
        <v>0.625</v>
      </c>
      <c r="P124" t="s">
        <v>167</v>
      </c>
      <c r="Q124" t="s">
        <v>29</v>
      </c>
    </row>
    <row r="125" spans="1:17" x14ac:dyDescent="0.3">
      <c r="A125" t="s">
        <v>160</v>
      </c>
      <c r="B125" t="s">
        <v>161</v>
      </c>
      <c r="C125" t="s">
        <v>22</v>
      </c>
      <c r="D125">
        <v>201</v>
      </c>
      <c r="E125" t="s">
        <v>23</v>
      </c>
      <c r="F125" t="s">
        <v>162</v>
      </c>
      <c r="G125" s="2">
        <v>45462</v>
      </c>
      <c r="H125">
        <v>57</v>
      </c>
      <c r="I125" s="2">
        <v>25355</v>
      </c>
      <c r="J125" t="s">
        <v>163</v>
      </c>
      <c r="K125" t="s">
        <v>153</v>
      </c>
      <c r="L125" s="6">
        <v>1</v>
      </c>
      <c r="M125" s="6">
        <f t="shared" si="5"/>
        <v>30</v>
      </c>
      <c r="N125" s="4" t="s">
        <v>53</v>
      </c>
      <c r="O125" s="3">
        <v>0.875</v>
      </c>
      <c r="P125" t="s">
        <v>167</v>
      </c>
      <c r="Q125" t="s">
        <v>29</v>
      </c>
    </row>
    <row r="126" spans="1:17" x14ac:dyDescent="0.3">
      <c r="A126" t="s">
        <v>160</v>
      </c>
      <c r="B126" t="s">
        <v>161</v>
      </c>
      <c r="C126" t="s">
        <v>22</v>
      </c>
      <c r="D126">
        <v>201</v>
      </c>
      <c r="E126" t="s">
        <v>23</v>
      </c>
      <c r="F126" t="s">
        <v>162</v>
      </c>
      <c r="G126" s="2">
        <v>45462</v>
      </c>
      <c r="H126">
        <v>57</v>
      </c>
      <c r="I126" s="2">
        <v>25355</v>
      </c>
      <c r="J126" t="s">
        <v>163</v>
      </c>
      <c r="K126" t="s">
        <v>168</v>
      </c>
      <c r="L126" s="6">
        <v>1</v>
      </c>
      <c r="M126" s="6">
        <f t="shared" si="5"/>
        <v>30</v>
      </c>
      <c r="N126" s="4" t="s">
        <v>51</v>
      </c>
      <c r="O126" s="3">
        <v>0.29166666666666669</v>
      </c>
      <c r="Q126" t="s">
        <v>29</v>
      </c>
    </row>
    <row r="127" spans="1:17" x14ac:dyDescent="0.3">
      <c r="A127" t="s">
        <v>160</v>
      </c>
      <c r="B127" t="s">
        <v>161</v>
      </c>
      <c r="C127" t="s">
        <v>22</v>
      </c>
      <c r="D127">
        <v>201</v>
      </c>
      <c r="E127" t="s">
        <v>23</v>
      </c>
      <c r="F127" t="s">
        <v>162</v>
      </c>
      <c r="G127" s="2">
        <v>45462</v>
      </c>
      <c r="H127">
        <v>57</v>
      </c>
      <c r="I127" s="2">
        <v>25355</v>
      </c>
      <c r="J127" t="s">
        <v>163</v>
      </c>
      <c r="K127" t="s">
        <v>168</v>
      </c>
      <c r="L127" s="6">
        <v>1</v>
      </c>
      <c r="M127" s="6">
        <f t="shared" si="5"/>
        <v>30</v>
      </c>
      <c r="N127" s="4" t="s">
        <v>51</v>
      </c>
      <c r="O127" s="3">
        <v>0.625</v>
      </c>
      <c r="Q127" t="s">
        <v>29</v>
      </c>
    </row>
    <row r="128" spans="1:17" x14ac:dyDescent="0.3">
      <c r="A128" t="s">
        <v>160</v>
      </c>
      <c r="B128" t="s">
        <v>161</v>
      </c>
      <c r="C128" t="s">
        <v>22</v>
      </c>
      <c r="D128">
        <v>201</v>
      </c>
      <c r="E128" t="s">
        <v>23</v>
      </c>
      <c r="F128" t="s">
        <v>162</v>
      </c>
      <c r="G128" s="2">
        <v>45462</v>
      </c>
      <c r="H128">
        <v>57</v>
      </c>
      <c r="I128" s="2">
        <v>25355</v>
      </c>
      <c r="J128" t="s">
        <v>163</v>
      </c>
      <c r="K128" t="s">
        <v>168</v>
      </c>
      <c r="L128" s="6">
        <v>1</v>
      </c>
      <c r="M128" s="6">
        <f t="shared" si="5"/>
        <v>30</v>
      </c>
      <c r="N128" s="4" t="s">
        <v>51</v>
      </c>
      <c r="O128" s="3">
        <v>0.95833333333333337</v>
      </c>
      <c r="Q128" t="s">
        <v>29</v>
      </c>
    </row>
    <row r="129" spans="1:17" x14ac:dyDescent="0.3">
      <c r="A129" t="s">
        <v>160</v>
      </c>
      <c r="B129" t="s">
        <v>161</v>
      </c>
      <c r="C129" t="s">
        <v>22</v>
      </c>
      <c r="D129">
        <v>201</v>
      </c>
      <c r="E129" t="s">
        <v>23</v>
      </c>
      <c r="F129" t="s">
        <v>162</v>
      </c>
      <c r="G129" s="2">
        <v>45462</v>
      </c>
      <c r="H129">
        <v>57</v>
      </c>
      <c r="I129" s="2">
        <v>25355</v>
      </c>
      <c r="J129" t="s">
        <v>163</v>
      </c>
      <c r="K129" t="s">
        <v>135</v>
      </c>
      <c r="L129" s="6">
        <v>1</v>
      </c>
      <c r="M129" s="6">
        <f t="shared" si="5"/>
        <v>30</v>
      </c>
      <c r="N129" s="4" t="s">
        <v>56</v>
      </c>
      <c r="O129" s="3">
        <v>0.375</v>
      </c>
      <c r="Q129" t="s">
        <v>29</v>
      </c>
    </row>
    <row r="130" spans="1:17" x14ac:dyDescent="0.3">
      <c r="A130" t="s">
        <v>160</v>
      </c>
      <c r="B130" t="s">
        <v>161</v>
      </c>
      <c r="C130" t="s">
        <v>22</v>
      </c>
      <c r="D130">
        <v>201</v>
      </c>
      <c r="E130" t="s">
        <v>23</v>
      </c>
      <c r="F130" t="s">
        <v>162</v>
      </c>
      <c r="G130" s="2">
        <v>45462</v>
      </c>
      <c r="H130">
        <v>57</v>
      </c>
      <c r="I130" s="2">
        <v>25355</v>
      </c>
      <c r="J130" t="s">
        <v>163</v>
      </c>
      <c r="K130" t="s">
        <v>135</v>
      </c>
      <c r="L130" s="6">
        <v>1</v>
      </c>
      <c r="M130" s="6">
        <f t="shared" si="5"/>
        <v>30</v>
      </c>
      <c r="N130" s="4" t="s">
        <v>56</v>
      </c>
      <c r="O130" s="3">
        <v>0.875</v>
      </c>
      <c r="Q130" t="s">
        <v>29</v>
      </c>
    </row>
    <row r="131" spans="1:17" x14ac:dyDescent="0.3">
      <c r="A131" t="s">
        <v>160</v>
      </c>
      <c r="B131" t="s">
        <v>161</v>
      </c>
      <c r="C131" t="s">
        <v>22</v>
      </c>
      <c r="D131">
        <v>201</v>
      </c>
      <c r="E131" t="s">
        <v>23</v>
      </c>
      <c r="F131" t="s">
        <v>162</v>
      </c>
      <c r="G131" s="2">
        <v>45462</v>
      </c>
      <c r="H131">
        <v>57</v>
      </c>
      <c r="I131" s="2">
        <v>25355</v>
      </c>
      <c r="J131" t="s">
        <v>163</v>
      </c>
      <c r="K131" t="s">
        <v>169</v>
      </c>
      <c r="L131" s="6">
        <v>1</v>
      </c>
      <c r="M131" s="6">
        <f t="shared" si="5"/>
        <v>30</v>
      </c>
      <c r="N131" s="4" t="s">
        <v>51</v>
      </c>
      <c r="O131" s="3">
        <v>0.375</v>
      </c>
      <c r="Q131" t="s">
        <v>29</v>
      </c>
    </row>
    <row r="132" spans="1:17" x14ac:dyDescent="0.3">
      <c r="A132" t="s">
        <v>160</v>
      </c>
      <c r="B132" t="s">
        <v>161</v>
      </c>
      <c r="C132" t="s">
        <v>22</v>
      </c>
      <c r="D132">
        <v>201</v>
      </c>
      <c r="E132" t="s">
        <v>23</v>
      </c>
      <c r="F132" t="s">
        <v>162</v>
      </c>
      <c r="G132" s="2">
        <v>45462</v>
      </c>
      <c r="H132">
        <v>57</v>
      </c>
      <c r="I132" s="2">
        <v>25355</v>
      </c>
      <c r="J132" t="s">
        <v>163</v>
      </c>
      <c r="K132" t="s">
        <v>169</v>
      </c>
      <c r="L132" s="6">
        <v>1</v>
      </c>
      <c r="M132" s="6">
        <f t="shared" si="5"/>
        <v>30</v>
      </c>
      <c r="N132" s="4" t="s">
        <v>51</v>
      </c>
      <c r="O132" s="3">
        <v>0.875</v>
      </c>
      <c r="Q132" t="s">
        <v>29</v>
      </c>
    </row>
    <row r="133" spans="1:17" x14ac:dyDescent="0.3">
      <c r="A133" t="s">
        <v>160</v>
      </c>
      <c r="B133" t="s">
        <v>161</v>
      </c>
      <c r="C133" t="s">
        <v>22</v>
      </c>
      <c r="D133">
        <v>201</v>
      </c>
      <c r="E133" t="s">
        <v>23</v>
      </c>
      <c r="F133" t="s">
        <v>162</v>
      </c>
      <c r="G133" s="2">
        <v>45462</v>
      </c>
      <c r="H133">
        <v>57</v>
      </c>
      <c r="I133" s="2">
        <v>25355</v>
      </c>
      <c r="J133" t="s">
        <v>163</v>
      </c>
      <c r="K133" t="s">
        <v>170</v>
      </c>
      <c r="L133" s="6">
        <v>2</v>
      </c>
      <c r="M133" s="6">
        <f t="shared" si="5"/>
        <v>60</v>
      </c>
      <c r="N133" s="4" t="s">
        <v>51</v>
      </c>
      <c r="O133" s="3">
        <v>0.375</v>
      </c>
      <c r="Q133" t="s">
        <v>29</v>
      </c>
    </row>
    <row r="134" spans="1:17" x14ac:dyDescent="0.3">
      <c r="A134" t="s">
        <v>160</v>
      </c>
      <c r="B134" t="s">
        <v>161</v>
      </c>
      <c r="C134" t="s">
        <v>22</v>
      </c>
      <c r="D134">
        <v>201</v>
      </c>
      <c r="E134" t="s">
        <v>23</v>
      </c>
      <c r="F134" t="s">
        <v>162</v>
      </c>
      <c r="G134" s="2">
        <v>45462</v>
      </c>
      <c r="H134">
        <v>57</v>
      </c>
      <c r="I134" s="2">
        <v>25355</v>
      </c>
      <c r="J134" t="s">
        <v>163</v>
      </c>
      <c r="K134" t="s">
        <v>88</v>
      </c>
      <c r="L134" s="6">
        <v>2</v>
      </c>
      <c r="M134" s="6">
        <f t="shared" si="5"/>
        <v>60</v>
      </c>
      <c r="N134" s="4" t="s">
        <v>51</v>
      </c>
      <c r="O134" s="3">
        <v>0.625</v>
      </c>
      <c r="Q134" t="s">
        <v>29</v>
      </c>
    </row>
    <row r="135" spans="1:17" x14ac:dyDescent="0.3">
      <c r="A135" t="s">
        <v>160</v>
      </c>
      <c r="B135" t="s">
        <v>161</v>
      </c>
      <c r="C135" t="s">
        <v>22</v>
      </c>
      <c r="D135">
        <v>201</v>
      </c>
      <c r="E135" t="s">
        <v>23</v>
      </c>
      <c r="F135" t="s">
        <v>162</v>
      </c>
      <c r="G135" s="2">
        <v>45462</v>
      </c>
      <c r="H135">
        <v>57</v>
      </c>
      <c r="I135" s="2">
        <v>25355</v>
      </c>
      <c r="J135" t="s">
        <v>163</v>
      </c>
      <c r="K135" t="s">
        <v>171</v>
      </c>
      <c r="L135" s="6">
        <v>1</v>
      </c>
      <c r="M135" s="6">
        <f t="shared" si="5"/>
        <v>30</v>
      </c>
      <c r="N135" s="4" t="s">
        <v>51</v>
      </c>
      <c r="O135" s="3">
        <v>0.875</v>
      </c>
      <c r="Q135" t="s">
        <v>29</v>
      </c>
    </row>
    <row r="136" spans="1:17" x14ac:dyDescent="0.3">
      <c r="A136" t="s">
        <v>160</v>
      </c>
      <c r="B136" t="s">
        <v>161</v>
      </c>
      <c r="C136" t="s">
        <v>22</v>
      </c>
      <c r="D136">
        <v>201</v>
      </c>
      <c r="E136" t="s">
        <v>23</v>
      </c>
      <c r="F136" t="s">
        <v>162</v>
      </c>
      <c r="G136" s="2">
        <v>45462</v>
      </c>
      <c r="H136">
        <v>57</v>
      </c>
      <c r="I136" s="2">
        <v>25355</v>
      </c>
      <c r="J136" t="s">
        <v>163</v>
      </c>
      <c r="K136" t="s">
        <v>172</v>
      </c>
      <c r="L136" s="6">
        <v>1</v>
      </c>
      <c r="M136" s="6">
        <f t="shared" si="5"/>
        <v>30</v>
      </c>
      <c r="N136" s="4" t="s">
        <v>51</v>
      </c>
      <c r="O136" s="3">
        <v>0.875</v>
      </c>
      <c r="Q136" t="s">
        <v>29</v>
      </c>
    </row>
    <row r="137" spans="1:17" x14ac:dyDescent="0.3">
      <c r="A137" t="s">
        <v>160</v>
      </c>
      <c r="B137" t="s">
        <v>161</v>
      </c>
      <c r="C137" t="s">
        <v>22</v>
      </c>
      <c r="D137">
        <v>201</v>
      </c>
      <c r="E137" t="s">
        <v>23</v>
      </c>
      <c r="F137" t="s">
        <v>162</v>
      </c>
      <c r="G137" s="2">
        <v>45462</v>
      </c>
      <c r="H137">
        <v>57</v>
      </c>
      <c r="I137" s="2">
        <v>25355</v>
      </c>
      <c r="J137" t="s">
        <v>163</v>
      </c>
      <c r="K137" t="s">
        <v>141</v>
      </c>
      <c r="L137" s="6">
        <v>1</v>
      </c>
      <c r="M137" s="6">
        <f t="shared" si="5"/>
        <v>30</v>
      </c>
      <c r="N137" s="4" t="s">
        <v>51</v>
      </c>
      <c r="O137" s="3">
        <v>0.875</v>
      </c>
      <c r="Q137" t="s">
        <v>29</v>
      </c>
    </row>
    <row r="138" spans="1:17" x14ac:dyDescent="0.3">
      <c r="A138" t="s">
        <v>160</v>
      </c>
      <c r="B138" t="s">
        <v>161</v>
      </c>
      <c r="C138" t="s">
        <v>22</v>
      </c>
      <c r="D138">
        <v>201</v>
      </c>
      <c r="E138" t="s">
        <v>23</v>
      </c>
      <c r="F138" t="s">
        <v>162</v>
      </c>
      <c r="G138" s="2">
        <v>45462</v>
      </c>
      <c r="H138">
        <v>57</v>
      </c>
      <c r="I138" s="2">
        <v>25355</v>
      </c>
      <c r="J138" t="s">
        <v>163</v>
      </c>
      <c r="K138" t="s">
        <v>88</v>
      </c>
      <c r="L138" s="6">
        <v>2</v>
      </c>
      <c r="N138" s="4" t="s">
        <v>51</v>
      </c>
      <c r="O138" s="3">
        <v>0.29166666666666669</v>
      </c>
      <c r="Q138" t="s">
        <v>40</v>
      </c>
    </row>
    <row r="139" spans="1:17" x14ac:dyDescent="0.3">
      <c r="A139" t="s">
        <v>160</v>
      </c>
      <c r="B139" t="s">
        <v>161</v>
      </c>
      <c r="C139" t="s">
        <v>22</v>
      </c>
      <c r="D139">
        <v>201</v>
      </c>
      <c r="E139" t="s">
        <v>23</v>
      </c>
      <c r="F139" t="s">
        <v>162</v>
      </c>
      <c r="G139" s="2">
        <v>45462</v>
      </c>
      <c r="H139">
        <v>57</v>
      </c>
      <c r="I139" s="2">
        <v>25355</v>
      </c>
      <c r="J139" t="s">
        <v>163</v>
      </c>
      <c r="K139" t="s">
        <v>88</v>
      </c>
      <c r="L139" s="6">
        <v>2</v>
      </c>
      <c r="N139" s="4" t="s">
        <v>51</v>
      </c>
      <c r="O139" s="3">
        <v>0.95833333333333337</v>
      </c>
      <c r="Q139" t="s">
        <v>40</v>
      </c>
    </row>
    <row r="140" spans="1:17" x14ac:dyDescent="0.3">
      <c r="A140" t="s">
        <v>160</v>
      </c>
      <c r="B140" t="s">
        <v>161</v>
      </c>
      <c r="C140" t="s">
        <v>22</v>
      </c>
      <c r="D140">
        <v>201</v>
      </c>
      <c r="E140" t="s">
        <v>23</v>
      </c>
      <c r="F140" t="s">
        <v>162</v>
      </c>
      <c r="G140" s="2">
        <v>45462</v>
      </c>
      <c r="H140">
        <v>57</v>
      </c>
      <c r="I140" s="2">
        <v>25355</v>
      </c>
      <c r="J140" t="s">
        <v>163</v>
      </c>
      <c r="K140" t="s">
        <v>173</v>
      </c>
      <c r="L140" s="6" t="s">
        <v>174</v>
      </c>
      <c r="N140" s="4" t="s">
        <v>175</v>
      </c>
      <c r="O140" s="3">
        <v>0.375</v>
      </c>
      <c r="Q140" t="s">
        <v>40</v>
      </c>
    </row>
    <row r="141" spans="1:17" x14ac:dyDescent="0.3">
      <c r="A141" t="s">
        <v>160</v>
      </c>
      <c r="B141" t="s">
        <v>161</v>
      </c>
      <c r="C141" t="s">
        <v>22</v>
      </c>
      <c r="D141">
        <v>201</v>
      </c>
      <c r="E141" t="s">
        <v>23</v>
      </c>
      <c r="F141" t="s">
        <v>162</v>
      </c>
      <c r="G141" s="2">
        <v>45462</v>
      </c>
      <c r="H141">
        <v>57</v>
      </c>
      <c r="I141" s="2">
        <v>25355</v>
      </c>
      <c r="J141" t="s">
        <v>163</v>
      </c>
      <c r="K141" t="s">
        <v>173</v>
      </c>
      <c r="L141" s="6" t="s">
        <v>174</v>
      </c>
      <c r="N141" s="4" t="s">
        <v>175</v>
      </c>
      <c r="O141" s="3">
        <v>0.875</v>
      </c>
      <c r="Q141" t="s">
        <v>40</v>
      </c>
    </row>
    <row r="142" spans="1:17" x14ac:dyDescent="0.3">
      <c r="A142" t="s">
        <v>160</v>
      </c>
      <c r="B142" t="s">
        <v>161</v>
      </c>
      <c r="C142" t="s">
        <v>22</v>
      </c>
      <c r="D142">
        <v>201</v>
      </c>
      <c r="E142" t="s">
        <v>23</v>
      </c>
      <c r="F142" t="s">
        <v>162</v>
      </c>
      <c r="G142" s="2">
        <v>45462</v>
      </c>
      <c r="H142">
        <v>57</v>
      </c>
      <c r="I142" s="2">
        <v>25355</v>
      </c>
      <c r="J142" t="s">
        <v>163</v>
      </c>
      <c r="K142" t="s">
        <v>176</v>
      </c>
      <c r="L142" s="6">
        <v>2</v>
      </c>
      <c r="N142" s="4" t="s">
        <v>52</v>
      </c>
      <c r="O142" s="3">
        <v>0.375</v>
      </c>
      <c r="Q142" t="s">
        <v>40</v>
      </c>
    </row>
    <row r="143" spans="1:17" x14ac:dyDescent="0.3">
      <c r="A143" t="s">
        <v>160</v>
      </c>
      <c r="B143" t="s">
        <v>161</v>
      </c>
      <c r="C143" t="s">
        <v>22</v>
      </c>
      <c r="D143">
        <v>201</v>
      </c>
      <c r="E143" t="s">
        <v>23</v>
      </c>
      <c r="F143" t="s">
        <v>162</v>
      </c>
      <c r="G143" s="2">
        <v>45462</v>
      </c>
      <c r="H143">
        <v>57</v>
      </c>
      <c r="I143" s="2">
        <v>25355</v>
      </c>
      <c r="J143" t="s">
        <v>163</v>
      </c>
      <c r="K143" t="s">
        <v>176</v>
      </c>
      <c r="L143" s="6">
        <v>2</v>
      </c>
      <c r="N143" s="4" t="s">
        <v>52</v>
      </c>
      <c r="O143" s="3">
        <v>0.875</v>
      </c>
      <c r="Q143" t="s">
        <v>40</v>
      </c>
    </row>
    <row r="144" spans="1:17" x14ac:dyDescent="0.3">
      <c r="A144" t="s">
        <v>160</v>
      </c>
      <c r="B144" t="s">
        <v>161</v>
      </c>
      <c r="C144" t="s">
        <v>22</v>
      </c>
      <c r="D144">
        <v>201</v>
      </c>
      <c r="E144" t="s">
        <v>23</v>
      </c>
      <c r="F144" t="s">
        <v>162</v>
      </c>
      <c r="G144" s="2">
        <v>45462</v>
      </c>
      <c r="H144">
        <v>57</v>
      </c>
      <c r="I144" s="2">
        <v>25355</v>
      </c>
      <c r="J144" t="s">
        <v>163</v>
      </c>
      <c r="K144" t="s">
        <v>142</v>
      </c>
      <c r="L144" s="6">
        <v>1</v>
      </c>
      <c r="N144" s="4" t="s">
        <v>51</v>
      </c>
      <c r="O144" s="3">
        <v>0.375</v>
      </c>
      <c r="Q144" t="s">
        <v>40</v>
      </c>
    </row>
    <row r="145" spans="1:17" x14ac:dyDescent="0.3">
      <c r="A145" t="s">
        <v>160</v>
      </c>
      <c r="B145" t="s">
        <v>161</v>
      </c>
      <c r="C145" t="s">
        <v>22</v>
      </c>
      <c r="D145">
        <v>201</v>
      </c>
      <c r="E145" t="s">
        <v>23</v>
      </c>
      <c r="F145" t="s">
        <v>162</v>
      </c>
      <c r="G145" s="2">
        <v>45462</v>
      </c>
      <c r="H145">
        <v>57</v>
      </c>
      <c r="I145" s="2">
        <v>25355</v>
      </c>
      <c r="J145" t="s">
        <v>163</v>
      </c>
      <c r="K145" t="s">
        <v>142</v>
      </c>
      <c r="L145" s="6">
        <v>1</v>
      </c>
      <c r="N145" s="4" t="s">
        <v>51</v>
      </c>
      <c r="O145" s="3">
        <v>0.875</v>
      </c>
      <c r="Q145" t="s">
        <v>40</v>
      </c>
    </row>
    <row r="146" spans="1:17" x14ac:dyDescent="0.3">
      <c r="A146" t="s">
        <v>160</v>
      </c>
      <c r="B146" t="s">
        <v>161</v>
      </c>
      <c r="C146" t="s">
        <v>22</v>
      </c>
      <c r="D146">
        <v>201</v>
      </c>
      <c r="E146" t="s">
        <v>23</v>
      </c>
      <c r="F146" t="s">
        <v>162</v>
      </c>
      <c r="G146" s="2">
        <v>45462</v>
      </c>
      <c r="H146">
        <v>57</v>
      </c>
      <c r="I146" s="2">
        <v>25355</v>
      </c>
      <c r="J146" t="s">
        <v>163</v>
      </c>
      <c r="K146" t="s">
        <v>177</v>
      </c>
      <c r="L146" s="6">
        <v>1</v>
      </c>
      <c r="N146" s="4" t="s">
        <v>51</v>
      </c>
      <c r="P146" t="s">
        <v>178</v>
      </c>
      <c r="Q146" t="s">
        <v>74</v>
      </c>
    </row>
    <row r="147" spans="1:17" x14ac:dyDescent="0.3">
      <c r="A147" t="s">
        <v>160</v>
      </c>
      <c r="B147" t="s">
        <v>161</v>
      </c>
      <c r="C147" t="s">
        <v>22</v>
      </c>
      <c r="D147">
        <v>201</v>
      </c>
      <c r="E147" t="s">
        <v>23</v>
      </c>
      <c r="F147" t="s">
        <v>162</v>
      </c>
      <c r="G147" s="2">
        <v>45462</v>
      </c>
      <c r="H147">
        <v>57</v>
      </c>
      <c r="I147" s="2">
        <v>25355</v>
      </c>
      <c r="J147" t="s">
        <v>163</v>
      </c>
      <c r="K147" t="s">
        <v>179</v>
      </c>
      <c r="L147" s="6" t="s">
        <v>180</v>
      </c>
      <c r="P147" t="s">
        <v>181</v>
      </c>
      <c r="Q147" t="s">
        <v>74</v>
      </c>
    </row>
    <row r="148" spans="1:17" x14ac:dyDescent="0.3">
      <c r="A148" t="s">
        <v>160</v>
      </c>
      <c r="B148" t="s">
        <v>161</v>
      </c>
      <c r="C148" t="s">
        <v>22</v>
      </c>
      <c r="D148">
        <v>201</v>
      </c>
      <c r="E148" t="s">
        <v>23</v>
      </c>
      <c r="F148" t="s">
        <v>162</v>
      </c>
      <c r="G148" s="2">
        <v>45462</v>
      </c>
      <c r="H148">
        <v>57</v>
      </c>
      <c r="I148" s="2">
        <v>25355</v>
      </c>
      <c r="J148" t="s">
        <v>163</v>
      </c>
      <c r="K148" t="s">
        <v>142</v>
      </c>
      <c r="L148" s="6">
        <v>1</v>
      </c>
      <c r="N148" s="4" t="s">
        <v>52</v>
      </c>
      <c r="Q148" t="s">
        <v>74</v>
      </c>
    </row>
    <row r="149" spans="1:17" x14ac:dyDescent="0.3">
      <c r="A149" t="s">
        <v>327</v>
      </c>
      <c r="B149" t="s">
        <v>182</v>
      </c>
      <c r="C149" t="s">
        <v>22</v>
      </c>
      <c r="D149">
        <v>413</v>
      </c>
      <c r="E149" t="s">
        <v>23</v>
      </c>
      <c r="F149" t="s">
        <v>183</v>
      </c>
      <c r="G149" s="2">
        <v>45390</v>
      </c>
      <c r="H149">
        <v>68</v>
      </c>
      <c r="I149" s="2">
        <v>21195</v>
      </c>
      <c r="J149" t="s">
        <v>184</v>
      </c>
      <c r="K149" t="s">
        <v>48</v>
      </c>
      <c r="L149" s="6">
        <v>1</v>
      </c>
      <c r="M149" s="6">
        <f t="shared" ref="M149:M171" si="6">L149*30</f>
        <v>30</v>
      </c>
      <c r="N149" s="4" t="s">
        <v>53</v>
      </c>
      <c r="O149" s="3">
        <v>0.29166666666666669</v>
      </c>
      <c r="Q149" t="s">
        <v>29</v>
      </c>
    </row>
    <row r="150" spans="1:17" x14ac:dyDescent="0.3">
      <c r="A150" t="s">
        <v>327</v>
      </c>
      <c r="B150" t="s">
        <v>182</v>
      </c>
      <c r="C150" t="s">
        <v>22</v>
      </c>
      <c r="D150">
        <v>413</v>
      </c>
      <c r="E150" t="s">
        <v>23</v>
      </c>
      <c r="F150" t="s">
        <v>183</v>
      </c>
      <c r="G150" s="2">
        <v>45390</v>
      </c>
      <c r="H150">
        <v>68</v>
      </c>
      <c r="I150" s="2">
        <v>21195</v>
      </c>
      <c r="J150" t="s">
        <v>184</v>
      </c>
      <c r="K150" t="s">
        <v>48</v>
      </c>
      <c r="L150" s="6">
        <v>1</v>
      </c>
      <c r="M150" s="6">
        <f t="shared" si="6"/>
        <v>30</v>
      </c>
      <c r="N150" s="4" t="s">
        <v>53</v>
      </c>
      <c r="O150" s="3">
        <v>0.375</v>
      </c>
      <c r="Q150" t="s">
        <v>29</v>
      </c>
    </row>
    <row r="151" spans="1:17" x14ac:dyDescent="0.3">
      <c r="A151" t="s">
        <v>327</v>
      </c>
      <c r="B151" t="s">
        <v>182</v>
      </c>
      <c r="C151" t="s">
        <v>22</v>
      </c>
      <c r="D151">
        <v>413</v>
      </c>
      <c r="E151" t="s">
        <v>23</v>
      </c>
      <c r="F151" t="s">
        <v>183</v>
      </c>
      <c r="G151" s="2">
        <v>45390</v>
      </c>
      <c r="H151">
        <v>68</v>
      </c>
      <c r="I151" s="2">
        <v>21195</v>
      </c>
      <c r="J151" t="s">
        <v>184</v>
      </c>
      <c r="K151" t="s">
        <v>48</v>
      </c>
      <c r="L151" s="6">
        <v>1</v>
      </c>
      <c r="M151" s="6">
        <f t="shared" si="6"/>
        <v>30</v>
      </c>
      <c r="N151" s="4" t="s">
        <v>53</v>
      </c>
      <c r="O151" s="3">
        <v>0.54166666666666663</v>
      </c>
      <c r="Q151" t="s">
        <v>29</v>
      </c>
    </row>
    <row r="152" spans="1:17" x14ac:dyDescent="0.3">
      <c r="A152" t="s">
        <v>327</v>
      </c>
      <c r="B152" t="s">
        <v>182</v>
      </c>
      <c r="C152" t="s">
        <v>22</v>
      </c>
      <c r="D152">
        <v>413</v>
      </c>
      <c r="E152" t="s">
        <v>23</v>
      </c>
      <c r="F152" t="s">
        <v>183</v>
      </c>
      <c r="G152" s="2">
        <v>45390</v>
      </c>
      <c r="H152">
        <v>68</v>
      </c>
      <c r="I152" s="2">
        <v>21195</v>
      </c>
      <c r="J152" t="s">
        <v>184</v>
      </c>
      <c r="K152" t="s">
        <v>48</v>
      </c>
      <c r="L152" s="6">
        <v>1</v>
      </c>
      <c r="M152" s="6">
        <f t="shared" si="6"/>
        <v>30</v>
      </c>
      <c r="N152" s="4" t="s">
        <v>53</v>
      </c>
      <c r="O152" s="3">
        <v>0.66666666666666663</v>
      </c>
      <c r="Q152" t="s">
        <v>29</v>
      </c>
    </row>
    <row r="153" spans="1:17" x14ac:dyDescent="0.3">
      <c r="A153" t="s">
        <v>327</v>
      </c>
      <c r="B153" t="s">
        <v>182</v>
      </c>
      <c r="C153" t="s">
        <v>22</v>
      </c>
      <c r="D153">
        <v>413</v>
      </c>
      <c r="E153" t="s">
        <v>23</v>
      </c>
      <c r="F153" t="s">
        <v>183</v>
      </c>
      <c r="G153" s="2">
        <v>45390</v>
      </c>
      <c r="H153">
        <v>68</v>
      </c>
      <c r="I153" s="2">
        <v>21195</v>
      </c>
      <c r="J153" t="s">
        <v>184</v>
      </c>
      <c r="K153" t="s">
        <v>48</v>
      </c>
      <c r="L153" s="6">
        <v>1</v>
      </c>
      <c r="M153" s="6">
        <f t="shared" si="6"/>
        <v>30</v>
      </c>
      <c r="N153" s="4" t="s">
        <v>53</v>
      </c>
      <c r="O153" s="3">
        <v>0.75</v>
      </c>
      <c r="Q153" t="s">
        <v>29</v>
      </c>
    </row>
    <row r="154" spans="1:17" x14ac:dyDescent="0.3">
      <c r="A154" t="s">
        <v>327</v>
      </c>
      <c r="B154" t="s">
        <v>182</v>
      </c>
      <c r="C154" t="s">
        <v>22</v>
      </c>
      <c r="D154">
        <v>413</v>
      </c>
      <c r="E154" t="s">
        <v>23</v>
      </c>
      <c r="F154" t="s">
        <v>183</v>
      </c>
      <c r="G154" s="2">
        <v>45390</v>
      </c>
      <c r="H154">
        <v>68</v>
      </c>
      <c r="I154" s="2">
        <v>21195</v>
      </c>
      <c r="J154" t="s">
        <v>184</v>
      </c>
      <c r="K154" t="s">
        <v>88</v>
      </c>
      <c r="L154" s="6">
        <v>2</v>
      </c>
      <c r="M154" s="6">
        <f t="shared" si="6"/>
        <v>60</v>
      </c>
      <c r="N154" s="4" t="s">
        <v>51</v>
      </c>
      <c r="O154" s="3">
        <v>0.29166666666666669</v>
      </c>
      <c r="Q154" t="s">
        <v>29</v>
      </c>
    </row>
    <row r="155" spans="1:17" x14ac:dyDescent="0.3">
      <c r="A155" t="s">
        <v>327</v>
      </c>
      <c r="B155" t="s">
        <v>182</v>
      </c>
      <c r="C155" t="s">
        <v>22</v>
      </c>
      <c r="D155">
        <v>413</v>
      </c>
      <c r="E155" t="s">
        <v>23</v>
      </c>
      <c r="F155" t="s">
        <v>183</v>
      </c>
      <c r="G155" s="2">
        <v>45390</v>
      </c>
      <c r="H155">
        <v>68</v>
      </c>
      <c r="I155" s="2">
        <v>21195</v>
      </c>
      <c r="J155" t="s">
        <v>184</v>
      </c>
      <c r="K155" t="s">
        <v>88</v>
      </c>
      <c r="L155" s="6">
        <v>2</v>
      </c>
      <c r="M155" s="6">
        <f t="shared" si="6"/>
        <v>60</v>
      </c>
      <c r="N155" s="4" t="s">
        <v>51</v>
      </c>
      <c r="O155" s="3">
        <v>0.625</v>
      </c>
      <c r="Q155" t="s">
        <v>29</v>
      </c>
    </row>
    <row r="156" spans="1:17" x14ac:dyDescent="0.3">
      <c r="A156" t="s">
        <v>327</v>
      </c>
      <c r="B156" t="s">
        <v>182</v>
      </c>
      <c r="C156" t="s">
        <v>22</v>
      </c>
      <c r="D156">
        <v>413</v>
      </c>
      <c r="E156" t="s">
        <v>23</v>
      </c>
      <c r="F156" t="s">
        <v>183</v>
      </c>
      <c r="G156" s="2">
        <v>45390</v>
      </c>
      <c r="H156">
        <v>68</v>
      </c>
      <c r="I156" s="2">
        <v>21195</v>
      </c>
      <c r="J156" t="s">
        <v>184</v>
      </c>
      <c r="K156" t="s">
        <v>88</v>
      </c>
      <c r="L156" s="6">
        <v>2</v>
      </c>
      <c r="M156" s="6">
        <f t="shared" si="6"/>
        <v>60</v>
      </c>
      <c r="N156" s="4" t="s">
        <v>51</v>
      </c>
      <c r="O156" s="3">
        <v>0.95833333333333337</v>
      </c>
      <c r="Q156" t="s">
        <v>29</v>
      </c>
    </row>
    <row r="157" spans="1:17" x14ac:dyDescent="0.3">
      <c r="A157" t="s">
        <v>327</v>
      </c>
      <c r="B157" t="s">
        <v>182</v>
      </c>
      <c r="C157" t="s">
        <v>22</v>
      </c>
      <c r="D157">
        <v>413</v>
      </c>
      <c r="E157" t="s">
        <v>23</v>
      </c>
      <c r="F157" t="s">
        <v>183</v>
      </c>
      <c r="G157" s="2">
        <v>45390</v>
      </c>
      <c r="H157">
        <v>68</v>
      </c>
      <c r="I157" s="2">
        <v>21195</v>
      </c>
      <c r="J157" t="s">
        <v>184</v>
      </c>
      <c r="K157" t="s">
        <v>149</v>
      </c>
      <c r="L157" s="6">
        <v>1</v>
      </c>
      <c r="M157" s="6">
        <f t="shared" si="6"/>
        <v>30</v>
      </c>
      <c r="N157" s="4" t="s">
        <v>51</v>
      </c>
      <c r="O157" s="3">
        <v>0.29166666666666669</v>
      </c>
      <c r="Q157" t="s">
        <v>29</v>
      </c>
    </row>
    <row r="158" spans="1:17" x14ac:dyDescent="0.3">
      <c r="A158" t="s">
        <v>327</v>
      </c>
      <c r="B158" t="s">
        <v>182</v>
      </c>
      <c r="C158" t="s">
        <v>22</v>
      </c>
      <c r="D158">
        <v>413</v>
      </c>
      <c r="E158" t="s">
        <v>23</v>
      </c>
      <c r="F158" t="s">
        <v>183</v>
      </c>
      <c r="G158" s="2">
        <v>45390</v>
      </c>
      <c r="H158">
        <v>68</v>
      </c>
      <c r="I158" s="2">
        <v>21195</v>
      </c>
      <c r="J158" t="s">
        <v>184</v>
      </c>
      <c r="K158" t="s">
        <v>131</v>
      </c>
      <c r="L158" s="6">
        <v>22</v>
      </c>
      <c r="M158" s="6">
        <f t="shared" si="6"/>
        <v>660</v>
      </c>
      <c r="N158" s="4" t="s">
        <v>65</v>
      </c>
      <c r="O158" s="3">
        <v>0.29166666666666669</v>
      </c>
      <c r="Q158" t="s">
        <v>29</v>
      </c>
    </row>
    <row r="159" spans="1:17" x14ac:dyDescent="0.3">
      <c r="A159" t="s">
        <v>327</v>
      </c>
      <c r="B159" t="s">
        <v>182</v>
      </c>
      <c r="C159" t="s">
        <v>22</v>
      </c>
      <c r="D159">
        <v>413</v>
      </c>
      <c r="E159" t="s">
        <v>23</v>
      </c>
      <c r="F159" t="s">
        <v>183</v>
      </c>
      <c r="G159" s="2">
        <v>45390</v>
      </c>
      <c r="H159">
        <v>68</v>
      </c>
      <c r="I159" s="2">
        <v>21195</v>
      </c>
      <c r="J159" t="s">
        <v>184</v>
      </c>
      <c r="K159" t="s">
        <v>137</v>
      </c>
      <c r="L159" s="6">
        <v>1</v>
      </c>
      <c r="M159" s="6">
        <f t="shared" si="6"/>
        <v>30</v>
      </c>
      <c r="N159" s="4" t="s">
        <v>51</v>
      </c>
      <c r="O159" s="3">
        <v>0.375</v>
      </c>
      <c r="Q159" t="s">
        <v>29</v>
      </c>
    </row>
    <row r="160" spans="1:17" x14ac:dyDescent="0.3">
      <c r="A160" t="s">
        <v>327</v>
      </c>
      <c r="B160" t="s">
        <v>182</v>
      </c>
      <c r="C160" t="s">
        <v>22</v>
      </c>
      <c r="D160">
        <v>413</v>
      </c>
      <c r="E160" t="s">
        <v>23</v>
      </c>
      <c r="F160" t="s">
        <v>183</v>
      </c>
      <c r="G160" s="2">
        <v>45390</v>
      </c>
      <c r="H160">
        <v>68</v>
      </c>
      <c r="I160" s="2">
        <v>21195</v>
      </c>
      <c r="J160" t="s">
        <v>184</v>
      </c>
      <c r="K160" t="s">
        <v>137</v>
      </c>
      <c r="L160" s="6">
        <v>1</v>
      </c>
      <c r="M160" s="6">
        <f t="shared" si="6"/>
        <v>30</v>
      </c>
      <c r="N160" s="4" t="s">
        <v>51</v>
      </c>
      <c r="O160" s="3">
        <v>0.54166666666666663</v>
      </c>
      <c r="Q160" t="s">
        <v>29</v>
      </c>
    </row>
    <row r="161" spans="1:19" x14ac:dyDescent="0.3">
      <c r="A161" t="s">
        <v>327</v>
      </c>
      <c r="B161" t="s">
        <v>182</v>
      </c>
      <c r="C161" t="s">
        <v>22</v>
      </c>
      <c r="D161">
        <v>413</v>
      </c>
      <c r="E161" t="s">
        <v>23</v>
      </c>
      <c r="F161" t="s">
        <v>183</v>
      </c>
      <c r="G161" s="2">
        <v>45390</v>
      </c>
      <c r="H161">
        <v>68</v>
      </c>
      <c r="I161" s="2">
        <v>21195</v>
      </c>
      <c r="J161" t="s">
        <v>184</v>
      </c>
      <c r="K161" t="s">
        <v>185</v>
      </c>
      <c r="L161" s="6">
        <v>1</v>
      </c>
      <c r="M161" s="6">
        <f t="shared" si="6"/>
        <v>30</v>
      </c>
      <c r="N161" s="4" t="s">
        <v>53</v>
      </c>
      <c r="O161" s="3">
        <v>0.375</v>
      </c>
      <c r="Q161" t="s">
        <v>29</v>
      </c>
    </row>
    <row r="162" spans="1:19" x14ac:dyDescent="0.3">
      <c r="A162" t="s">
        <v>327</v>
      </c>
      <c r="B162" t="s">
        <v>182</v>
      </c>
      <c r="C162" t="s">
        <v>22</v>
      </c>
      <c r="D162">
        <v>413</v>
      </c>
      <c r="E162" t="s">
        <v>23</v>
      </c>
      <c r="F162" t="s">
        <v>183</v>
      </c>
      <c r="G162" s="2">
        <v>45390</v>
      </c>
      <c r="H162">
        <v>68</v>
      </c>
      <c r="I162" s="2">
        <v>21195</v>
      </c>
      <c r="J162" t="s">
        <v>184</v>
      </c>
      <c r="K162" t="s">
        <v>185</v>
      </c>
      <c r="L162" s="6">
        <v>1</v>
      </c>
      <c r="M162" s="6">
        <f t="shared" si="6"/>
        <v>30</v>
      </c>
      <c r="N162" s="4" t="s">
        <v>53</v>
      </c>
      <c r="O162" s="3">
        <v>0.66666666666666663</v>
      </c>
      <c r="Q162" t="s">
        <v>29</v>
      </c>
    </row>
    <row r="163" spans="1:19" x14ac:dyDescent="0.3">
      <c r="A163" t="s">
        <v>327</v>
      </c>
      <c r="B163" t="s">
        <v>182</v>
      </c>
      <c r="C163" t="s">
        <v>22</v>
      </c>
      <c r="D163">
        <v>413</v>
      </c>
      <c r="E163" t="s">
        <v>23</v>
      </c>
      <c r="F163" t="s">
        <v>183</v>
      </c>
      <c r="G163" s="2">
        <v>45390</v>
      </c>
      <c r="H163">
        <v>68</v>
      </c>
      <c r="I163" s="2">
        <v>21195</v>
      </c>
      <c r="J163" t="s">
        <v>184</v>
      </c>
      <c r="K163" t="s">
        <v>186</v>
      </c>
      <c r="L163" s="6">
        <v>11</v>
      </c>
      <c r="M163" s="6">
        <f t="shared" si="6"/>
        <v>330</v>
      </c>
      <c r="N163" s="4" t="s">
        <v>56</v>
      </c>
      <c r="O163" s="3">
        <v>0.375</v>
      </c>
      <c r="Q163" t="s">
        <v>29</v>
      </c>
    </row>
    <row r="164" spans="1:19" x14ac:dyDescent="0.3">
      <c r="A164" t="s">
        <v>327</v>
      </c>
      <c r="B164" t="s">
        <v>182</v>
      </c>
      <c r="C164" t="s">
        <v>22</v>
      </c>
      <c r="D164">
        <v>413</v>
      </c>
      <c r="E164" t="s">
        <v>23</v>
      </c>
      <c r="F164" t="s">
        <v>183</v>
      </c>
      <c r="G164" s="2">
        <v>45390</v>
      </c>
      <c r="H164">
        <v>68</v>
      </c>
      <c r="I164" s="2">
        <v>21195</v>
      </c>
      <c r="J164" t="s">
        <v>184</v>
      </c>
      <c r="K164" t="s">
        <v>186</v>
      </c>
      <c r="L164" s="6">
        <v>11</v>
      </c>
      <c r="M164" s="6">
        <f t="shared" si="6"/>
        <v>330</v>
      </c>
      <c r="N164" s="4" t="s">
        <v>56</v>
      </c>
      <c r="O164" s="3">
        <v>0.875</v>
      </c>
      <c r="Q164" t="s">
        <v>29</v>
      </c>
    </row>
    <row r="165" spans="1:19" x14ac:dyDescent="0.3">
      <c r="A165" t="s">
        <v>327</v>
      </c>
      <c r="B165" t="s">
        <v>182</v>
      </c>
      <c r="C165" t="s">
        <v>22</v>
      </c>
      <c r="D165">
        <v>413</v>
      </c>
      <c r="E165" t="s">
        <v>23</v>
      </c>
      <c r="F165" t="s">
        <v>183</v>
      </c>
      <c r="G165" s="2">
        <v>45390</v>
      </c>
      <c r="H165">
        <v>68</v>
      </c>
      <c r="I165" s="2">
        <v>21195</v>
      </c>
      <c r="J165" t="s">
        <v>184</v>
      </c>
      <c r="K165" t="s">
        <v>36</v>
      </c>
      <c r="L165" s="6">
        <v>1</v>
      </c>
      <c r="M165" s="6">
        <f t="shared" si="6"/>
        <v>30</v>
      </c>
      <c r="N165" s="4" t="s">
        <v>51</v>
      </c>
      <c r="O165" s="3">
        <v>0.375</v>
      </c>
      <c r="Q165" t="s">
        <v>29</v>
      </c>
    </row>
    <row r="166" spans="1:19" x14ac:dyDescent="0.3">
      <c r="A166" t="s">
        <v>327</v>
      </c>
      <c r="B166" t="s">
        <v>182</v>
      </c>
      <c r="C166" t="s">
        <v>22</v>
      </c>
      <c r="D166">
        <v>413</v>
      </c>
      <c r="E166" t="s">
        <v>23</v>
      </c>
      <c r="F166" t="s">
        <v>183</v>
      </c>
      <c r="G166" s="2">
        <v>45390</v>
      </c>
      <c r="H166">
        <v>68</v>
      </c>
      <c r="I166" s="2">
        <v>21195</v>
      </c>
      <c r="J166" t="s">
        <v>184</v>
      </c>
      <c r="K166" t="s">
        <v>36</v>
      </c>
      <c r="L166" s="6">
        <v>1</v>
      </c>
      <c r="M166" s="6">
        <f t="shared" si="6"/>
        <v>30</v>
      </c>
      <c r="N166" s="4" t="s">
        <v>51</v>
      </c>
      <c r="O166" s="3">
        <v>0.875</v>
      </c>
      <c r="Q166" t="s">
        <v>29</v>
      </c>
    </row>
    <row r="167" spans="1:19" x14ac:dyDescent="0.3">
      <c r="A167" t="s">
        <v>327</v>
      </c>
      <c r="B167" t="s">
        <v>182</v>
      </c>
      <c r="C167" t="s">
        <v>22</v>
      </c>
      <c r="D167">
        <v>413</v>
      </c>
      <c r="E167" t="s">
        <v>23</v>
      </c>
      <c r="F167" t="s">
        <v>183</v>
      </c>
      <c r="G167" s="2">
        <v>45390</v>
      </c>
      <c r="H167">
        <v>68</v>
      </c>
      <c r="I167" s="2">
        <v>21195</v>
      </c>
      <c r="J167" t="s">
        <v>184</v>
      </c>
      <c r="K167" t="s">
        <v>187</v>
      </c>
      <c r="L167" s="6">
        <v>2</v>
      </c>
      <c r="M167" s="6">
        <f t="shared" si="6"/>
        <v>60</v>
      </c>
      <c r="N167" s="4" t="s">
        <v>51</v>
      </c>
      <c r="O167" s="3">
        <v>0.375</v>
      </c>
      <c r="Q167" t="s">
        <v>29</v>
      </c>
    </row>
    <row r="168" spans="1:19" x14ac:dyDescent="0.3">
      <c r="A168" t="s">
        <v>327</v>
      </c>
      <c r="B168" t="s">
        <v>182</v>
      </c>
      <c r="C168" t="s">
        <v>22</v>
      </c>
      <c r="D168">
        <v>413</v>
      </c>
      <c r="E168" t="s">
        <v>23</v>
      </c>
      <c r="F168" t="s">
        <v>183</v>
      </c>
      <c r="G168" s="2">
        <v>45390</v>
      </c>
      <c r="H168">
        <v>68</v>
      </c>
      <c r="I168" s="2">
        <v>21195</v>
      </c>
      <c r="J168" t="s">
        <v>184</v>
      </c>
      <c r="K168" t="s">
        <v>101</v>
      </c>
      <c r="L168" s="6">
        <v>1</v>
      </c>
      <c r="M168" s="6">
        <f t="shared" si="6"/>
        <v>30</v>
      </c>
      <c r="N168" s="4" t="s">
        <v>81</v>
      </c>
      <c r="O168" s="3">
        <v>0.625</v>
      </c>
      <c r="Q168" t="s">
        <v>29</v>
      </c>
    </row>
    <row r="169" spans="1:19" x14ac:dyDescent="0.3">
      <c r="A169" t="s">
        <v>327</v>
      </c>
      <c r="B169" t="s">
        <v>182</v>
      </c>
      <c r="C169" t="s">
        <v>22</v>
      </c>
      <c r="D169">
        <v>413</v>
      </c>
      <c r="E169" t="s">
        <v>23</v>
      </c>
      <c r="F169" t="s">
        <v>183</v>
      </c>
      <c r="G169" s="2">
        <v>45390</v>
      </c>
      <c r="H169">
        <v>68</v>
      </c>
      <c r="I169" s="2">
        <v>21195</v>
      </c>
      <c r="J169" t="s">
        <v>184</v>
      </c>
      <c r="K169" t="s">
        <v>188</v>
      </c>
      <c r="L169" s="6">
        <v>2</v>
      </c>
      <c r="M169" s="6">
        <f t="shared" si="6"/>
        <v>60</v>
      </c>
      <c r="N169" s="4" t="s">
        <v>51</v>
      </c>
      <c r="O169" s="3">
        <v>0.875</v>
      </c>
      <c r="Q169" t="s">
        <v>29</v>
      </c>
    </row>
    <row r="170" spans="1:19" x14ac:dyDescent="0.3">
      <c r="A170" t="s">
        <v>327</v>
      </c>
      <c r="B170" t="s">
        <v>182</v>
      </c>
      <c r="C170" t="s">
        <v>22</v>
      </c>
      <c r="D170">
        <v>413</v>
      </c>
      <c r="E170" t="s">
        <v>23</v>
      </c>
      <c r="F170" t="s">
        <v>183</v>
      </c>
      <c r="G170" s="2">
        <v>45390</v>
      </c>
      <c r="H170">
        <v>68</v>
      </c>
      <c r="I170" s="2">
        <v>21195</v>
      </c>
      <c r="J170" t="s">
        <v>184</v>
      </c>
      <c r="K170" t="s">
        <v>38</v>
      </c>
      <c r="L170" s="6">
        <v>3</v>
      </c>
      <c r="M170" s="6">
        <f t="shared" si="6"/>
        <v>90</v>
      </c>
      <c r="N170" s="4" t="s">
        <v>51</v>
      </c>
      <c r="O170" s="3">
        <v>0.875</v>
      </c>
      <c r="Q170" t="s">
        <v>29</v>
      </c>
    </row>
    <row r="171" spans="1:19" x14ac:dyDescent="0.3">
      <c r="A171" t="s">
        <v>327</v>
      </c>
      <c r="B171" t="s">
        <v>182</v>
      </c>
      <c r="C171" t="s">
        <v>22</v>
      </c>
      <c r="D171">
        <v>413</v>
      </c>
      <c r="E171" t="s">
        <v>23</v>
      </c>
      <c r="F171" t="s">
        <v>183</v>
      </c>
      <c r="G171" s="2">
        <v>45390</v>
      </c>
      <c r="H171">
        <v>68</v>
      </c>
      <c r="I171" s="2">
        <v>21195</v>
      </c>
      <c r="J171" t="s">
        <v>184</v>
      </c>
      <c r="K171" t="s">
        <v>131</v>
      </c>
      <c r="L171" s="6">
        <v>8</v>
      </c>
      <c r="M171" s="6">
        <f t="shared" si="6"/>
        <v>240</v>
      </c>
      <c r="N171" s="4" t="s">
        <v>65</v>
      </c>
      <c r="O171" s="3">
        <v>0.91666666666666663</v>
      </c>
      <c r="Q171" t="s">
        <v>29</v>
      </c>
    </row>
    <row r="172" spans="1:19" x14ac:dyDescent="0.3">
      <c r="A172" t="s">
        <v>327</v>
      </c>
      <c r="B172" t="s">
        <v>182</v>
      </c>
      <c r="C172" t="s">
        <v>22</v>
      </c>
      <c r="D172">
        <v>413</v>
      </c>
      <c r="E172" t="s">
        <v>23</v>
      </c>
      <c r="F172" t="s">
        <v>183</v>
      </c>
      <c r="G172" s="2">
        <v>45390</v>
      </c>
      <c r="H172">
        <v>68</v>
      </c>
      <c r="I172" s="2">
        <v>21195</v>
      </c>
      <c r="J172" t="s">
        <v>184</v>
      </c>
      <c r="K172" t="s">
        <v>189</v>
      </c>
      <c r="L172" s="6">
        <v>1</v>
      </c>
      <c r="N172" s="4" t="s">
        <v>180</v>
      </c>
      <c r="O172" s="3">
        <v>0.375</v>
      </c>
      <c r="Q172" t="s">
        <v>40</v>
      </c>
      <c r="R172" s="2">
        <v>46188</v>
      </c>
      <c r="S172" s="2">
        <v>46227</v>
      </c>
    </row>
    <row r="173" spans="1:19" x14ac:dyDescent="0.3">
      <c r="A173" t="s">
        <v>190</v>
      </c>
      <c r="B173" t="s">
        <v>191</v>
      </c>
      <c r="C173" t="s">
        <v>22</v>
      </c>
      <c r="D173">
        <v>409</v>
      </c>
      <c r="E173" t="s">
        <v>192</v>
      </c>
      <c r="F173" t="s">
        <v>193</v>
      </c>
      <c r="G173" s="2">
        <v>45537</v>
      </c>
      <c r="H173">
        <v>84</v>
      </c>
      <c r="I173" s="2">
        <v>15155</v>
      </c>
      <c r="J173" t="s">
        <v>194</v>
      </c>
      <c r="K173" t="s">
        <v>48</v>
      </c>
      <c r="L173" s="6">
        <v>1</v>
      </c>
      <c r="M173" s="6">
        <f t="shared" ref="M173:M218" si="7">L173*30</f>
        <v>30</v>
      </c>
      <c r="N173" s="4" t="s">
        <v>53</v>
      </c>
      <c r="O173" s="3">
        <v>0.29166666666666669</v>
      </c>
      <c r="Q173" t="s">
        <v>29</v>
      </c>
    </row>
    <row r="174" spans="1:19" x14ac:dyDescent="0.3">
      <c r="A174" t="s">
        <v>190</v>
      </c>
      <c r="B174" t="s">
        <v>191</v>
      </c>
      <c r="C174" t="s">
        <v>22</v>
      </c>
      <c r="D174">
        <v>409</v>
      </c>
      <c r="E174" t="s">
        <v>192</v>
      </c>
      <c r="F174" t="s">
        <v>193</v>
      </c>
      <c r="G174" s="2">
        <v>45537</v>
      </c>
      <c r="H174">
        <v>84</v>
      </c>
      <c r="I174" s="2">
        <v>15155</v>
      </c>
      <c r="J174" t="s">
        <v>194</v>
      </c>
      <c r="K174" t="s">
        <v>48</v>
      </c>
      <c r="L174" s="6">
        <v>1</v>
      </c>
      <c r="M174" s="6">
        <f t="shared" si="7"/>
        <v>30</v>
      </c>
      <c r="N174" s="4" t="s">
        <v>53</v>
      </c>
      <c r="O174" s="3">
        <v>0.5</v>
      </c>
      <c r="Q174" t="s">
        <v>29</v>
      </c>
    </row>
    <row r="175" spans="1:19" x14ac:dyDescent="0.3">
      <c r="A175" t="s">
        <v>190</v>
      </c>
      <c r="B175" t="s">
        <v>191</v>
      </c>
      <c r="C175" t="s">
        <v>22</v>
      </c>
      <c r="D175">
        <v>409</v>
      </c>
      <c r="E175" t="s">
        <v>192</v>
      </c>
      <c r="F175" t="s">
        <v>193</v>
      </c>
      <c r="G175" s="2">
        <v>45537</v>
      </c>
      <c r="H175">
        <v>84</v>
      </c>
      <c r="I175" s="2">
        <v>15155</v>
      </c>
      <c r="J175" t="s">
        <v>194</v>
      </c>
      <c r="K175" t="s">
        <v>48</v>
      </c>
      <c r="L175" s="6">
        <v>1</v>
      </c>
      <c r="M175" s="6">
        <f t="shared" si="7"/>
        <v>30</v>
      </c>
      <c r="N175" s="4" t="s">
        <v>53</v>
      </c>
      <c r="O175" s="3">
        <v>0.70833333333333337</v>
      </c>
      <c r="Q175" t="s">
        <v>29</v>
      </c>
    </row>
    <row r="176" spans="1:19" x14ac:dyDescent="0.3">
      <c r="A176" t="s">
        <v>190</v>
      </c>
      <c r="B176" t="s">
        <v>191</v>
      </c>
      <c r="C176" t="s">
        <v>22</v>
      </c>
      <c r="D176">
        <v>409</v>
      </c>
      <c r="E176" t="s">
        <v>192</v>
      </c>
      <c r="F176" t="s">
        <v>193</v>
      </c>
      <c r="G176" s="2">
        <v>45537</v>
      </c>
      <c r="H176">
        <v>84</v>
      </c>
      <c r="I176" s="2">
        <v>15155</v>
      </c>
      <c r="J176" t="s">
        <v>194</v>
      </c>
      <c r="K176" t="s">
        <v>195</v>
      </c>
      <c r="L176" s="6">
        <v>45</v>
      </c>
      <c r="M176" s="6">
        <f t="shared" si="7"/>
        <v>1350</v>
      </c>
      <c r="N176" s="4" t="s">
        <v>65</v>
      </c>
      <c r="O176" s="3">
        <v>0.29166666666666669</v>
      </c>
      <c r="Q176" t="s">
        <v>29</v>
      </c>
    </row>
    <row r="177" spans="1:17" x14ac:dyDescent="0.3">
      <c r="A177" t="s">
        <v>190</v>
      </c>
      <c r="B177" t="s">
        <v>191</v>
      </c>
      <c r="C177" t="s">
        <v>22</v>
      </c>
      <c r="D177">
        <v>409</v>
      </c>
      <c r="E177" t="s">
        <v>192</v>
      </c>
      <c r="F177" t="s">
        <v>193</v>
      </c>
      <c r="G177" s="2">
        <v>45537</v>
      </c>
      <c r="H177">
        <v>84</v>
      </c>
      <c r="I177" s="2">
        <v>15155</v>
      </c>
      <c r="J177" t="s">
        <v>194</v>
      </c>
      <c r="K177" t="s">
        <v>196</v>
      </c>
      <c r="L177" s="6">
        <v>1</v>
      </c>
      <c r="M177" s="6">
        <f t="shared" si="7"/>
        <v>30</v>
      </c>
      <c r="N177" s="4" t="s">
        <v>51</v>
      </c>
      <c r="O177" s="3">
        <v>0.29166666666666669</v>
      </c>
      <c r="Q177" t="s">
        <v>29</v>
      </c>
    </row>
    <row r="178" spans="1:17" x14ac:dyDescent="0.3">
      <c r="A178" t="s">
        <v>190</v>
      </c>
      <c r="B178" t="s">
        <v>191</v>
      </c>
      <c r="C178" t="s">
        <v>22</v>
      </c>
      <c r="D178">
        <v>409</v>
      </c>
      <c r="E178" t="s">
        <v>192</v>
      </c>
      <c r="F178" t="s">
        <v>193</v>
      </c>
      <c r="G178" s="2">
        <v>45537</v>
      </c>
      <c r="H178">
        <v>84</v>
      </c>
      <c r="I178" s="2">
        <v>15155</v>
      </c>
      <c r="J178" t="s">
        <v>194</v>
      </c>
      <c r="K178" t="s">
        <v>197</v>
      </c>
      <c r="L178" s="6">
        <v>1</v>
      </c>
      <c r="M178" s="6">
        <f t="shared" si="7"/>
        <v>30</v>
      </c>
      <c r="N178" s="4" t="s">
        <v>56</v>
      </c>
      <c r="O178" s="3">
        <v>0.375</v>
      </c>
      <c r="Q178" t="s">
        <v>29</v>
      </c>
    </row>
    <row r="179" spans="1:17" x14ac:dyDescent="0.3">
      <c r="A179" t="s">
        <v>190</v>
      </c>
      <c r="B179" t="s">
        <v>191</v>
      </c>
      <c r="C179" t="s">
        <v>22</v>
      </c>
      <c r="D179">
        <v>409</v>
      </c>
      <c r="E179" t="s">
        <v>192</v>
      </c>
      <c r="F179" t="s">
        <v>193</v>
      </c>
      <c r="G179" s="2">
        <v>45537</v>
      </c>
      <c r="H179">
        <v>84</v>
      </c>
      <c r="I179" s="2">
        <v>15155</v>
      </c>
      <c r="J179" t="s">
        <v>194</v>
      </c>
      <c r="K179" t="s">
        <v>197</v>
      </c>
      <c r="L179" s="6">
        <v>1</v>
      </c>
      <c r="M179" s="6">
        <f t="shared" si="7"/>
        <v>30</v>
      </c>
      <c r="N179" s="4" t="s">
        <v>56</v>
      </c>
      <c r="O179" s="3">
        <v>0.875</v>
      </c>
      <c r="Q179" t="s">
        <v>29</v>
      </c>
    </row>
    <row r="180" spans="1:17" x14ac:dyDescent="0.3">
      <c r="A180" t="s">
        <v>190</v>
      </c>
      <c r="B180" t="s">
        <v>191</v>
      </c>
      <c r="C180" t="s">
        <v>22</v>
      </c>
      <c r="D180">
        <v>409</v>
      </c>
      <c r="E180" t="s">
        <v>192</v>
      </c>
      <c r="F180" t="s">
        <v>193</v>
      </c>
      <c r="G180" s="2">
        <v>45537</v>
      </c>
      <c r="H180">
        <v>84</v>
      </c>
      <c r="I180" s="2">
        <v>15155</v>
      </c>
      <c r="J180" t="s">
        <v>194</v>
      </c>
      <c r="K180" t="s">
        <v>198</v>
      </c>
      <c r="L180" s="6">
        <v>1</v>
      </c>
      <c r="M180" s="6">
        <f t="shared" si="7"/>
        <v>30</v>
      </c>
      <c r="N180" s="4" t="s">
        <v>51</v>
      </c>
      <c r="O180" s="3">
        <v>0.375</v>
      </c>
      <c r="Q180" t="s">
        <v>29</v>
      </c>
    </row>
    <row r="181" spans="1:17" x14ac:dyDescent="0.3">
      <c r="A181" t="s">
        <v>190</v>
      </c>
      <c r="B181" t="s">
        <v>191</v>
      </c>
      <c r="C181" t="s">
        <v>22</v>
      </c>
      <c r="D181">
        <v>409</v>
      </c>
      <c r="E181" t="s">
        <v>192</v>
      </c>
      <c r="F181" t="s">
        <v>193</v>
      </c>
      <c r="G181" s="2">
        <v>45537</v>
      </c>
      <c r="H181">
        <v>84</v>
      </c>
      <c r="I181" s="2">
        <v>15155</v>
      </c>
      <c r="J181" t="s">
        <v>194</v>
      </c>
      <c r="K181" t="s">
        <v>198</v>
      </c>
      <c r="L181" s="6">
        <v>1</v>
      </c>
      <c r="M181" s="6">
        <f t="shared" si="7"/>
        <v>30</v>
      </c>
      <c r="N181" s="4" t="s">
        <v>51</v>
      </c>
      <c r="O181" s="3">
        <v>0.875</v>
      </c>
      <c r="Q181" t="s">
        <v>29</v>
      </c>
    </row>
    <row r="182" spans="1:17" x14ac:dyDescent="0.3">
      <c r="A182" t="s">
        <v>190</v>
      </c>
      <c r="B182" t="s">
        <v>191</v>
      </c>
      <c r="C182" t="s">
        <v>22</v>
      </c>
      <c r="D182">
        <v>409</v>
      </c>
      <c r="E182" t="s">
        <v>192</v>
      </c>
      <c r="F182" t="s">
        <v>193</v>
      </c>
      <c r="G182" s="2">
        <v>45537</v>
      </c>
      <c r="H182">
        <v>84</v>
      </c>
      <c r="I182" s="2">
        <v>15155</v>
      </c>
      <c r="J182" t="s">
        <v>194</v>
      </c>
      <c r="K182" t="s">
        <v>199</v>
      </c>
      <c r="L182" s="6">
        <v>1</v>
      </c>
      <c r="M182" s="6">
        <f t="shared" si="7"/>
        <v>30</v>
      </c>
      <c r="N182" s="4" t="s">
        <v>51</v>
      </c>
      <c r="O182" s="3">
        <v>0.375</v>
      </c>
      <c r="Q182" t="s">
        <v>29</v>
      </c>
    </row>
    <row r="183" spans="1:17" x14ac:dyDescent="0.3">
      <c r="A183" t="s">
        <v>190</v>
      </c>
      <c r="B183" t="s">
        <v>191</v>
      </c>
      <c r="C183" t="s">
        <v>22</v>
      </c>
      <c r="D183">
        <v>409</v>
      </c>
      <c r="E183" t="s">
        <v>192</v>
      </c>
      <c r="F183" t="s">
        <v>193</v>
      </c>
      <c r="G183" s="2">
        <v>45537</v>
      </c>
      <c r="H183">
        <v>84</v>
      </c>
      <c r="I183" s="2">
        <v>15155</v>
      </c>
      <c r="J183" t="s">
        <v>194</v>
      </c>
      <c r="K183" t="s">
        <v>143</v>
      </c>
      <c r="L183" s="6">
        <v>0.25</v>
      </c>
      <c r="M183" s="6">
        <f t="shared" si="7"/>
        <v>7.5</v>
      </c>
      <c r="N183" s="4" t="s">
        <v>51</v>
      </c>
      <c r="O183" s="3">
        <v>0.375</v>
      </c>
      <c r="Q183" t="s">
        <v>29</v>
      </c>
    </row>
    <row r="184" spans="1:17" x14ac:dyDescent="0.3">
      <c r="A184" t="s">
        <v>190</v>
      </c>
      <c r="B184" t="s">
        <v>191</v>
      </c>
      <c r="C184" t="s">
        <v>22</v>
      </c>
      <c r="D184">
        <v>409</v>
      </c>
      <c r="E184" t="s">
        <v>192</v>
      </c>
      <c r="F184" t="s">
        <v>193</v>
      </c>
      <c r="G184" s="2">
        <v>45537</v>
      </c>
      <c r="H184">
        <v>84</v>
      </c>
      <c r="I184" s="2">
        <v>15155</v>
      </c>
      <c r="J184" t="s">
        <v>194</v>
      </c>
      <c r="K184" t="s">
        <v>200</v>
      </c>
      <c r="L184" s="6">
        <v>1</v>
      </c>
      <c r="M184" s="6">
        <f t="shared" si="7"/>
        <v>30</v>
      </c>
      <c r="N184" s="4" t="s">
        <v>52</v>
      </c>
      <c r="O184" s="3">
        <v>0.375</v>
      </c>
      <c r="Q184" t="s">
        <v>29</v>
      </c>
    </row>
    <row r="185" spans="1:17" x14ac:dyDescent="0.3">
      <c r="A185" t="s">
        <v>190</v>
      </c>
      <c r="B185" t="s">
        <v>191</v>
      </c>
      <c r="C185" t="s">
        <v>22</v>
      </c>
      <c r="D185">
        <v>409</v>
      </c>
      <c r="E185" t="s">
        <v>192</v>
      </c>
      <c r="F185" t="s">
        <v>193</v>
      </c>
      <c r="G185" s="2">
        <v>45537</v>
      </c>
      <c r="H185">
        <v>84</v>
      </c>
      <c r="I185" s="2">
        <v>15155</v>
      </c>
      <c r="J185" t="s">
        <v>194</v>
      </c>
      <c r="K185" t="s">
        <v>80</v>
      </c>
      <c r="L185" s="6">
        <v>1</v>
      </c>
      <c r="M185" s="6">
        <f t="shared" si="7"/>
        <v>30</v>
      </c>
      <c r="N185" s="4" t="s">
        <v>81</v>
      </c>
      <c r="O185" s="3">
        <v>0.375</v>
      </c>
      <c r="Q185" t="s">
        <v>29</v>
      </c>
    </row>
    <row r="186" spans="1:17" x14ac:dyDescent="0.3">
      <c r="A186" t="s">
        <v>190</v>
      </c>
      <c r="B186" t="s">
        <v>191</v>
      </c>
      <c r="C186" t="s">
        <v>22</v>
      </c>
      <c r="D186">
        <v>409</v>
      </c>
      <c r="E186" t="s">
        <v>192</v>
      </c>
      <c r="F186" t="s">
        <v>193</v>
      </c>
      <c r="G186" s="2">
        <v>45537</v>
      </c>
      <c r="H186">
        <v>84</v>
      </c>
      <c r="I186" s="2">
        <v>15155</v>
      </c>
      <c r="J186" t="s">
        <v>194</v>
      </c>
      <c r="K186" t="s">
        <v>201</v>
      </c>
      <c r="L186" s="6">
        <v>1</v>
      </c>
      <c r="M186" s="6">
        <f t="shared" si="7"/>
        <v>30</v>
      </c>
      <c r="N186" s="4" t="s">
        <v>51</v>
      </c>
      <c r="O186" s="3">
        <v>0.54166666666666663</v>
      </c>
      <c r="Q186" t="s">
        <v>29</v>
      </c>
    </row>
    <row r="187" spans="1:17" x14ac:dyDescent="0.3">
      <c r="A187" t="s">
        <v>190</v>
      </c>
      <c r="B187" t="s">
        <v>191</v>
      </c>
      <c r="C187" t="s">
        <v>22</v>
      </c>
      <c r="D187">
        <v>409</v>
      </c>
      <c r="E187" t="s">
        <v>192</v>
      </c>
      <c r="F187" t="s">
        <v>193</v>
      </c>
      <c r="G187" s="2">
        <v>45537</v>
      </c>
      <c r="H187">
        <v>84</v>
      </c>
      <c r="I187" s="2">
        <v>15155</v>
      </c>
      <c r="J187" t="s">
        <v>194</v>
      </c>
      <c r="K187" t="s">
        <v>202</v>
      </c>
      <c r="L187" s="6">
        <v>0</v>
      </c>
      <c r="M187" s="6">
        <f t="shared" si="7"/>
        <v>0</v>
      </c>
      <c r="N187" s="4" t="s">
        <v>65</v>
      </c>
      <c r="O187" s="3">
        <v>0.52083333333333337</v>
      </c>
      <c r="P187" t="s">
        <v>203</v>
      </c>
      <c r="Q187" t="s">
        <v>29</v>
      </c>
    </row>
    <row r="188" spans="1:17" x14ac:dyDescent="0.3">
      <c r="A188" t="s">
        <v>190</v>
      </c>
      <c r="B188" t="s">
        <v>191</v>
      </c>
      <c r="C188" t="s">
        <v>22</v>
      </c>
      <c r="D188">
        <v>409</v>
      </c>
      <c r="E188" t="s">
        <v>192</v>
      </c>
      <c r="F188" t="s">
        <v>193</v>
      </c>
      <c r="G188" s="2">
        <v>45537</v>
      </c>
      <c r="H188">
        <v>84</v>
      </c>
      <c r="I188" s="2">
        <v>15155</v>
      </c>
      <c r="J188" t="s">
        <v>194</v>
      </c>
      <c r="K188" t="s">
        <v>202</v>
      </c>
      <c r="L188" s="6">
        <v>0</v>
      </c>
      <c r="M188" s="6">
        <f t="shared" si="7"/>
        <v>0</v>
      </c>
      <c r="N188" s="4" t="s">
        <v>204</v>
      </c>
      <c r="O188" s="3">
        <v>0.66666666666666663</v>
      </c>
      <c r="P188" t="s">
        <v>203</v>
      </c>
      <c r="Q188" t="s">
        <v>150</v>
      </c>
    </row>
    <row r="189" spans="1:17" x14ac:dyDescent="0.3">
      <c r="A189" t="s">
        <v>190</v>
      </c>
      <c r="B189" t="s">
        <v>191</v>
      </c>
      <c r="C189" t="s">
        <v>22</v>
      </c>
      <c r="D189">
        <v>409</v>
      </c>
      <c r="E189" t="s">
        <v>192</v>
      </c>
      <c r="F189" t="s">
        <v>193</v>
      </c>
      <c r="G189" s="2">
        <v>45537</v>
      </c>
      <c r="H189">
        <v>84</v>
      </c>
      <c r="I189" s="2">
        <v>15155</v>
      </c>
      <c r="J189" t="s">
        <v>194</v>
      </c>
      <c r="K189" t="s">
        <v>143</v>
      </c>
      <c r="L189" s="6">
        <v>2</v>
      </c>
      <c r="M189" s="6">
        <f t="shared" si="7"/>
        <v>60</v>
      </c>
      <c r="N189" s="4" t="s">
        <v>51</v>
      </c>
      <c r="O189" s="3">
        <v>0.875</v>
      </c>
      <c r="Q189" t="s">
        <v>29</v>
      </c>
    </row>
    <row r="190" spans="1:17" x14ac:dyDescent="0.3">
      <c r="A190" t="s">
        <v>190</v>
      </c>
      <c r="B190" t="s">
        <v>191</v>
      </c>
      <c r="C190" t="s">
        <v>22</v>
      </c>
      <c r="D190">
        <v>409</v>
      </c>
      <c r="E190" t="s">
        <v>192</v>
      </c>
      <c r="F190" t="s">
        <v>193</v>
      </c>
      <c r="G190" s="2">
        <v>45537</v>
      </c>
      <c r="H190">
        <v>84</v>
      </c>
      <c r="I190" s="2">
        <v>15155</v>
      </c>
      <c r="J190" t="s">
        <v>194</v>
      </c>
      <c r="K190" t="s">
        <v>308</v>
      </c>
      <c r="L190" s="6">
        <v>30</v>
      </c>
      <c r="M190" s="6">
        <f t="shared" si="7"/>
        <v>900</v>
      </c>
      <c r="N190" s="4" t="s">
        <v>56</v>
      </c>
      <c r="P190" t="s">
        <v>205</v>
      </c>
      <c r="Q190" t="s">
        <v>29</v>
      </c>
    </row>
    <row r="191" spans="1:17" x14ac:dyDescent="0.3">
      <c r="A191" t="s">
        <v>206</v>
      </c>
      <c r="B191" t="s">
        <v>207</v>
      </c>
      <c r="C191" t="s">
        <v>22</v>
      </c>
      <c r="D191">
        <v>303</v>
      </c>
      <c r="E191" t="s">
        <v>23</v>
      </c>
      <c r="F191" t="s">
        <v>208</v>
      </c>
      <c r="G191" s="2">
        <v>45664</v>
      </c>
      <c r="H191">
        <v>88</v>
      </c>
      <c r="I191" s="2">
        <v>10178</v>
      </c>
      <c r="J191" t="s">
        <v>209</v>
      </c>
      <c r="K191" t="s">
        <v>72</v>
      </c>
      <c r="L191" s="6">
        <v>10</v>
      </c>
      <c r="M191" s="6">
        <f t="shared" si="7"/>
        <v>300</v>
      </c>
      <c r="N191" s="4" t="s">
        <v>56</v>
      </c>
      <c r="O191" s="3">
        <v>0.375</v>
      </c>
      <c r="Q191" t="s">
        <v>29</v>
      </c>
    </row>
    <row r="192" spans="1:17" x14ac:dyDescent="0.3">
      <c r="A192" t="s">
        <v>206</v>
      </c>
      <c r="B192" t="s">
        <v>207</v>
      </c>
      <c r="C192" t="s">
        <v>22</v>
      </c>
      <c r="D192">
        <v>303</v>
      </c>
      <c r="E192" t="s">
        <v>23</v>
      </c>
      <c r="F192" t="s">
        <v>208</v>
      </c>
      <c r="G192" s="2">
        <v>45664</v>
      </c>
      <c r="H192">
        <v>88</v>
      </c>
      <c r="I192" s="2">
        <v>10178</v>
      </c>
      <c r="J192" t="s">
        <v>209</v>
      </c>
      <c r="K192" t="s">
        <v>72</v>
      </c>
      <c r="L192" s="6">
        <v>10</v>
      </c>
      <c r="M192" s="6">
        <f t="shared" si="7"/>
        <v>300</v>
      </c>
      <c r="N192" s="4" t="s">
        <v>56</v>
      </c>
      <c r="O192" s="3">
        <v>0.625</v>
      </c>
      <c r="Q192" t="s">
        <v>150</v>
      </c>
    </row>
    <row r="193" spans="1:17" x14ac:dyDescent="0.3">
      <c r="A193" t="s">
        <v>206</v>
      </c>
      <c r="B193" t="s">
        <v>207</v>
      </c>
      <c r="C193" t="s">
        <v>22</v>
      </c>
      <c r="D193">
        <v>303</v>
      </c>
      <c r="E193" t="s">
        <v>23</v>
      </c>
      <c r="F193" t="s">
        <v>208</v>
      </c>
      <c r="G193" s="2">
        <v>45664</v>
      </c>
      <c r="H193">
        <v>88</v>
      </c>
      <c r="I193" s="2">
        <v>10178</v>
      </c>
      <c r="J193" t="s">
        <v>209</v>
      </c>
      <c r="K193" t="s">
        <v>54</v>
      </c>
      <c r="L193" s="6">
        <v>1</v>
      </c>
      <c r="M193" s="6">
        <f t="shared" si="7"/>
        <v>30</v>
      </c>
      <c r="N193" s="4" t="s">
        <v>51</v>
      </c>
      <c r="O193" s="3">
        <v>0.375</v>
      </c>
      <c r="Q193" t="s">
        <v>29</v>
      </c>
    </row>
    <row r="194" spans="1:17" x14ac:dyDescent="0.3">
      <c r="A194" t="s">
        <v>206</v>
      </c>
      <c r="B194" t="s">
        <v>207</v>
      </c>
      <c r="C194" t="s">
        <v>22</v>
      </c>
      <c r="D194">
        <v>303</v>
      </c>
      <c r="E194" t="s">
        <v>23</v>
      </c>
      <c r="F194" t="s">
        <v>208</v>
      </c>
      <c r="G194" s="2">
        <v>45664</v>
      </c>
      <c r="H194">
        <v>88</v>
      </c>
      <c r="I194" s="2">
        <v>10178</v>
      </c>
      <c r="J194" t="s">
        <v>209</v>
      </c>
      <c r="K194" t="s">
        <v>54</v>
      </c>
      <c r="L194" s="6">
        <v>1</v>
      </c>
      <c r="M194" s="6">
        <f t="shared" si="7"/>
        <v>30</v>
      </c>
      <c r="N194" s="4" t="s">
        <v>51</v>
      </c>
      <c r="O194" s="3">
        <v>0.875</v>
      </c>
      <c r="Q194" t="s">
        <v>29</v>
      </c>
    </row>
    <row r="195" spans="1:17" x14ac:dyDescent="0.3">
      <c r="A195" t="s">
        <v>206</v>
      </c>
      <c r="B195" t="s">
        <v>207</v>
      </c>
      <c r="C195" t="s">
        <v>22</v>
      </c>
      <c r="D195">
        <v>303</v>
      </c>
      <c r="E195" t="s">
        <v>23</v>
      </c>
      <c r="F195" t="s">
        <v>208</v>
      </c>
      <c r="G195" s="2">
        <v>45664</v>
      </c>
      <c r="H195">
        <v>88</v>
      </c>
      <c r="I195" s="2">
        <v>10178</v>
      </c>
      <c r="J195" t="s">
        <v>209</v>
      </c>
      <c r="K195" t="s">
        <v>170</v>
      </c>
      <c r="L195" s="6">
        <v>1</v>
      </c>
      <c r="M195" s="6">
        <f t="shared" si="7"/>
        <v>30</v>
      </c>
      <c r="N195" s="4" t="s">
        <v>51</v>
      </c>
      <c r="O195" s="3">
        <v>0.375</v>
      </c>
      <c r="Q195" t="s">
        <v>29</v>
      </c>
    </row>
    <row r="196" spans="1:17" x14ac:dyDescent="0.3">
      <c r="A196" t="s">
        <v>206</v>
      </c>
      <c r="B196" t="s">
        <v>207</v>
      </c>
      <c r="C196" t="s">
        <v>22</v>
      </c>
      <c r="D196">
        <v>303</v>
      </c>
      <c r="E196" t="s">
        <v>23</v>
      </c>
      <c r="F196" t="s">
        <v>208</v>
      </c>
      <c r="G196" s="2">
        <v>45664</v>
      </c>
      <c r="H196">
        <v>88</v>
      </c>
      <c r="I196" s="2">
        <v>10178</v>
      </c>
      <c r="J196" t="s">
        <v>209</v>
      </c>
      <c r="K196" t="s">
        <v>210</v>
      </c>
      <c r="L196" s="6">
        <v>1</v>
      </c>
      <c r="M196" s="6">
        <f t="shared" si="7"/>
        <v>30</v>
      </c>
      <c r="N196" s="4" t="s">
        <v>51</v>
      </c>
      <c r="O196" s="3">
        <v>0.375</v>
      </c>
      <c r="Q196" t="s">
        <v>29</v>
      </c>
    </row>
    <row r="197" spans="1:17" x14ac:dyDescent="0.3">
      <c r="A197" t="s">
        <v>206</v>
      </c>
      <c r="B197" t="s">
        <v>207</v>
      </c>
      <c r="C197" t="s">
        <v>22</v>
      </c>
      <c r="D197">
        <v>303</v>
      </c>
      <c r="E197" t="s">
        <v>23</v>
      </c>
      <c r="F197" t="s">
        <v>208</v>
      </c>
      <c r="G197" s="2">
        <v>45664</v>
      </c>
      <c r="H197">
        <v>88</v>
      </c>
      <c r="I197" s="2">
        <v>10178</v>
      </c>
      <c r="J197" t="s">
        <v>209</v>
      </c>
      <c r="K197" t="s">
        <v>211</v>
      </c>
      <c r="L197" s="6">
        <v>1</v>
      </c>
      <c r="M197" s="6">
        <f t="shared" si="7"/>
        <v>30</v>
      </c>
      <c r="N197" s="4" t="s">
        <v>51</v>
      </c>
      <c r="O197" s="3">
        <v>0.375</v>
      </c>
      <c r="Q197" t="s">
        <v>29</v>
      </c>
    </row>
    <row r="198" spans="1:17" x14ac:dyDescent="0.3">
      <c r="A198" t="s">
        <v>206</v>
      </c>
      <c r="B198" t="s">
        <v>207</v>
      </c>
      <c r="C198" t="s">
        <v>22</v>
      </c>
      <c r="D198">
        <v>303</v>
      </c>
      <c r="E198" t="s">
        <v>23</v>
      </c>
      <c r="F198" t="s">
        <v>208</v>
      </c>
      <c r="G198" s="2">
        <v>45664</v>
      </c>
      <c r="H198">
        <v>88</v>
      </c>
      <c r="I198" s="2">
        <v>10178</v>
      </c>
      <c r="J198" t="s">
        <v>209</v>
      </c>
      <c r="K198" t="s">
        <v>134</v>
      </c>
      <c r="L198" s="6">
        <v>1</v>
      </c>
      <c r="M198" s="6">
        <f t="shared" si="7"/>
        <v>30</v>
      </c>
      <c r="N198" s="4" t="s">
        <v>51</v>
      </c>
      <c r="O198" s="3">
        <v>0.375</v>
      </c>
      <c r="Q198" t="s">
        <v>29</v>
      </c>
    </row>
    <row r="199" spans="1:17" x14ac:dyDescent="0.3">
      <c r="A199" t="s">
        <v>206</v>
      </c>
      <c r="B199" t="s">
        <v>207</v>
      </c>
      <c r="C199" t="s">
        <v>22</v>
      </c>
      <c r="D199">
        <v>303</v>
      </c>
      <c r="E199" t="s">
        <v>23</v>
      </c>
      <c r="F199" t="s">
        <v>208</v>
      </c>
      <c r="G199" s="2">
        <v>45664</v>
      </c>
      <c r="H199">
        <v>88</v>
      </c>
      <c r="I199" s="2">
        <v>10178</v>
      </c>
      <c r="J199" t="s">
        <v>209</v>
      </c>
      <c r="K199" t="s">
        <v>212</v>
      </c>
      <c r="L199" s="6">
        <v>1.5</v>
      </c>
      <c r="M199" s="6">
        <f t="shared" si="7"/>
        <v>45</v>
      </c>
      <c r="N199" s="4" t="s">
        <v>51</v>
      </c>
      <c r="O199" s="3">
        <v>0.375</v>
      </c>
      <c r="Q199" t="s">
        <v>29</v>
      </c>
    </row>
    <row r="200" spans="1:17" x14ac:dyDescent="0.3">
      <c r="A200" t="s">
        <v>206</v>
      </c>
      <c r="B200" t="s">
        <v>207</v>
      </c>
      <c r="C200" t="s">
        <v>22</v>
      </c>
      <c r="D200">
        <v>303</v>
      </c>
      <c r="E200" t="s">
        <v>23</v>
      </c>
      <c r="F200" t="s">
        <v>208</v>
      </c>
      <c r="G200" s="2">
        <v>45664</v>
      </c>
      <c r="H200">
        <v>88</v>
      </c>
      <c r="I200" s="2">
        <v>10178</v>
      </c>
      <c r="J200" t="s">
        <v>209</v>
      </c>
      <c r="K200" t="s">
        <v>213</v>
      </c>
      <c r="L200" s="6">
        <v>0.5</v>
      </c>
      <c r="M200" s="6">
        <f t="shared" si="7"/>
        <v>15</v>
      </c>
      <c r="N200" s="4" t="s">
        <v>51</v>
      </c>
      <c r="O200" s="3">
        <v>0.625</v>
      </c>
      <c r="Q200" t="s">
        <v>29</v>
      </c>
    </row>
    <row r="201" spans="1:17" x14ac:dyDescent="0.3">
      <c r="A201" t="s">
        <v>206</v>
      </c>
      <c r="B201" t="s">
        <v>207</v>
      </c>
      <c r="C201" t="s">
        <v>22</v>
      </c>
      <c r="D201">
        <v>303</v>
      </c>
      <c r="E201" t="s">
        <v>23</v>
      </c>
      <c r="F201" t="s">
        <v>208</v>
      </c>
      <c r="G201" s="2">
        <v>45664</v>
      </c>
      <c r="H201">
        <v>88</v>
      </c>
      <c r="I201" s="2">
        <v>10178</v>
      </c>
      <c r="J201" t="s">
        <v>209</v>
      </c>
      <c r="K201" t="s">
        <v>214</v>
      </c>
      <c r="L201" s="6">
        <v>1</v>
      </c>
      <c r="M201" s="6">
        <f t="shared" si="7"/>
        <v>30</v>
      </c>
      <c r="N201" s="4" t="s">
        <v>51</v>
      </c>
      <c r="O201" s="3">
        <v>0.875</v>
      </c>
      <c r="Q201" t="s">
        <v>29</v>
      </c>
    </row>
    <row r="202" spans="1:17" x14ac:dyDescent="0.3">
      <c r="A202" t="s">
        <v>206</v>
      </c>
      <c r="B202" t="s">
        <v>207</v>
      </c>
      <c r="C202" t="s">
        <v>22</v>
      </c>
      <c r="D202">
        <v>303</v>
      </c>
      <c r="E202" t="s">
        <v>23</v>
      </c>
      <c r="F202" t="s">
        <v>208</v>
      </c>
      <c r="G202" s="2">
        <v>45664</v>
      </c>
      <c r="H202">
        <v>88</v>
      </c>
      <c r="I202" s="2">
        <v>10178</v>
      </c>
      <c r="J202" t="s">
        <v>209</v>
      </c>
      <c r="K202" t="s">
        <v>38</v>
      </c>
      <c r="L202" s="6">
        <v>3</v>
      </c>
      <c r="M202" s="6">
        <f t="shared" si="7"/>
        <v>90</v>
      </c>
      <c r="N202" s="4" t="s">
        <v>51</v>
      </c>
      <c r="O202" s="3">
        <v>0.875</v>
      </c>
      <c r="Q202" t="s">
        <v>29</v>
      </c>
    </row>
    <row r="203" spans="1:17" x14ac:dyDescent="0.3">
      <c r="A203" t="s">
        <v>215</v>
      </c>
      <c r="B203" t="s">
        <v>216</v>
      </c>
      <c r="C203" t="s">
        <v>22</v>
      </c>
      <c r="D203">
        <v>406</v>
      </c>
      <c r="E203" t="s">
        <v>217</v>
      </c>
      <c r="F203" t="s">
        <v>218</v>
      </c>
      <c r="G203" s="2">
        <v>46006</v>
      </c>
      <c r="H203">
        <v>91</v>
      </c>
      <c r="I203" s="2">
        <v>12931</v>
      </c>
      <c r="J203" t="s">
        <v>219</v>
      </c>
      <c r="K203" t="s">
        <v>220</v>
      </c>
      <c r="L203" s="6">
        <v>1</v>
      </c>
      <c r="M203" s="6">
        <f t="shared" si="7"/>
        <v>30</v>
      </c>
      <c r="N203" s="4" t="s">
        <v>51</v>
      </c>
      <c r="O203" s="3">
        <v>0.375</v>
      </c>
      <c r="Q203" t="s">
        <v>150</v>
      </c>
    </row>
    <row r="204" spans="1:17" x14ac:dyDescent="0.3">
      <c r="A204" t="s">
        <v>215</v>
      </c>
      <c r="B204" t="s">
        <v>216</v>
      </c>
      <c r="C204" t="s">
        <v>22</v>
      </c>
      <c r="D204">
        <v>406</v>
      </c>
      <c r="E204" t="s">
        <v>217</v>
      </c>
      <c r="F204" t="s">
        <v>218</v>
      </c>
      <c r="G204" s="2">
        <v>46006</v>
      </c>
      <c r="H204">
        <v>91</v>
      </c>
      <c r="I204" s="2">
        <v>12931</v>
      </c>
      <c r="J204" t="s">
        <v>219</v>
      </c>
      <c r="K204" t="s">
        <v>220</v>
      </c>
      <c r="L204" s="6">
        <v>1</v>
      </c>
      <c r="M204" s="6">
        <f t="shared" si="7"/>
        <v>30</v>
      </c>
      <c r="N204" s="4" t="s">
        <v>51</v>
      </c>
      <c r="O204" s="3">
        <v>0.875</v>
      </c>
      <c r="Q204" t="s">
        <v>29</v>
      </c>
    </row>
    <row r="205" spans="1:17" x14ac:dyDescent="0.3">
      <c r="A205" t="s">
        <v>215</v>
      </c>
      <c r="B205" t="s">
        <v>216</v>
      </c>
      <c r="C205" t="s">
        <v>22</v>
      </c>
      <c r="D205">
        <v>406</v>
      </c>
      <c r="E205" t="s">
        <v>217</v>
      </c>
      <c r="F205" t="s">
        <v>218</v>
      </c>
      <c r="G205" s="2">
        <v>46006</v>
      </c>
      <c r="H205">
        <v>91</v>
      </c>
      <c r="I205" s="2">
        <v>12931</v>
      </c>
      <c r="J205" t="s">
        <v>219</v>
      </c>
      <c r="K205" t="s">
        <v>221</v>
      </c>
      <c r="L205" s="6">
        <v>1</v>
      </c>
      <c r="M205" s="6">
        <f t="shared" si="7"/>
        <v>30</v>
      </c>
      <c r="N205" s="4" t="s">
        <v>51</v>
      </c>
      <c r="O205" s="3">
        <v>0.375</v>
      </c>
      <c r="Q205" t="s">
        <v>29</v>
      </c>
    </row>
    <row r="206" spans="1:17" x14ac:dyDescent="0.3">
      <c r="A206" t="s">
        <v>215</v>
      </c>
      <c r="B206" t="s">
        <v>216</v>
      </c>
      <c r="C206" t="s">
        <v>22</v>
      </c>
      <c r="D206">
        <v>406</v>
      </c>
      <c r="E206" t="s">
        <v>217</v>
      </c>
      <c r="F206" t="s">
        <v>218</v>
      </c>
      <c r="G206" s="2">
        <v>46006</v>
      </c>
      <c r="H206">
        <v>91</v>
      </c>
      <c r="I206" s="2">
        <v>12931</v>
      </c>
      <c r="J206" t="s">
        <v>219</v>
      </c>
      <c r="K206" t="s">
        <v>221</v>
      </c>
      <c r="L206" s="6">
        <v>1</v>
      </c>
      <c r="M206" s="6">
        <f t="shared" si="7"/>
        <v>30</v>
      </c>
      <c r="N206" s="4" t="s">
        <v>51</v>
      </c>
      <c r="O206" s="3">
        <v>0.875</v>
      </c>
      <c r="Q206" t="s">
        <v>29</v>
      </c>
    </row>
    <row r="207" spans="1:17" x14ac:dyDescent="0.3">
      <c r="A207" t="s">
        <v>215</v>
      </c>
      <c r="B207" t="s">
        <v>216</v>
      </c>
      <c r="C207" t="s">
        <v>22</v>
      </c>
      <c r="D207">
        <v>406</v>
      </c>
      <c r="E207" t="s">
        <v>217</v>
      </c>
      <c r="F207" t="s">
        <v>218</v>
      </c>
      <c r="G207" s="2">
        <v>46006</v>
      </c>
      <c r="H207">
        <v>91</v>
      </c>
      <c r="I207" s="2">
        <v>12931</v>
      </c>
      <c r="J207" t="s">
        <v>219</v>
      </c>
      <c r="K207" t="s">
        <v>222</v>
      </c>
      <c r="L207" s="6">
        <v>1</v>
      </c>
      <c r="M207" s="6">
        <f t="shared" si="7"/>
        <v>30</v>
      </c>
      <c r="N207" s="4" t="s">
        <v>51</v>
      </c>
      <c r="O207" s="3">
        <v>0.375</v>
      </c>
      <c r="Q207" t="s">
        <v>29</v>
      </c>
    </row>
    <row r="208" spans="1:17" x14ac:dyDescent="0.3">
      <c r="A208" t="s">
        <v>215</v>
      </c>
      <c r="B208" t="s">
        <v>216</v>
      </c>
      <c r="C208" t="s">
        <v>22</v>
      </c>
      <c r="D208">
        <v>406</v>
      </c>
      <c r="E208" t="s">
        <v>217</v>
      </c>
      <c r="F208" t="s">
        <v>218</v>
      </c>
      <c r="G208" s="2">
        <v>46006</v>
      </c>
      <c r="H208">
        <v>91</v>
      </c>
      <c r="I208" s="2">
        <v>12931</v>
      </c>
      <c r="J208" t="s">
        <v>219</v>
      </c>
      <c r="K208" t="s">
        <v>222</v>
      </c>
      <c r="L208" s="6">
        <v>1</v>
      </c>
      <c r="M208" s="6">
        <f t="shared" si="7"/>
        <v>30</v>
      </c>
      <c r="N208" s="4" t="s">
        <v>51</v>
      </c>
      <c r="O208" s="3">
        <v>0.875</v>
      </c>
      <c r="Q208" t="s">
        <v>29</v>
      </c>
    </row>
    <row r="209" spans="1:17" x14ac:dyDescent="0.3">
      <c r="A209" t="s">
        <v>215</v>
      </c>
      <c r="B209" t="s">
        <v>216</v>
      </c>
      <c r="C209" t="s">
        <v>22</v>
      </c>
      <c r="D209">
        <v>406</v>
      </c>
      <c r="E209" t="s">
        <v>217</v>
      </c>
      <c r="F209" t="s">
        <v>218</v>
      </c>
      <c r="G209" s="2">
        <v>46006</v>
      </c>
      <c r="H209">
        <v>91</v>
      </c>
      <c r="I209" s="2">
        <v>12931</v>
      </c>
      <c r="J209" t="s">
        <v>219</v>
      </c>
      <c r="K209" t="s">
        <v>186</v>
      </c>
      <c r="L209" s="6">
        <v>3</v>
      </c>
      <c r="M209" s="6">
        <f t="shared" si="7"/>
        <v>90</v>
      </c>
      <c r="N209" s="4" t="s">
        <v>56</v>
      </c>
      <c r="O209" s="3">
        <v>0.375</v>
      </c>
      <c r="Q209" t="s">
        <v>29</v>
      </c>
    </row>
    <row r="210" spans="1:17" x14ac:dyDescent="0.3">
      <c r="A210" t="s">
        <v>215</v>
      </c>
      <c r="B210" t="s">
        <v>216</v>
      </c>
      <c r="C210" t="s">
        <v>22</v>
      </c>
      <c r="D210">
        <v>406</v>
      </c>
      <c r="E210" t="s">
        <v>217</v>
      </c>
      <c r="F210" t="s">
        <v>218</v>
      </c>
      <c r="G210" s="2">
        <v>46006</v>
      </c>
      <c r="H210">
        <v>91</v>
      </c>
      <c r="I210" s="2">
        <v>12931</v>
      </c>
      <c r="J210" t="s">
        <v>219</v>
      </c>
      <c r="K210" t="s">
        <v>186</v>
      </c>
      <c r="L210" s="6">
        <v>3</v>
      </c>
      <c r="M210" s="6">
        <f t="shared" si="7"/>
        <v>90</v>
      </c>
      <c r="N210" s="4" t="s">
        <v>56</v>
      </c>
      <c r="O210" s="3">
        <v>0.875</v>
      </c>
      <c r="Q210" t="s">
        <v>29</v>
      </c>
    </row>
    <row r="211" spans="1:17" x14ac:dyDescent="0.3">
      <c r="A211" t="s">
        <v>215</v>
      </c>
      <c r="B211" t="s">
        <v>216</v>
      </c>
      <c r="C211" t="s">
        <v>22</v>
      </c>
      <c r="D211">
        <v>406</v>
      </c>
      <c r="E211" t="s">
        <v>217</v>
      </c>
      <c r="F211" t="s">
        <v>218</v>
      </c>
      <c r="G211" s="2">
        <v>46006</v>
      </c>
      <c r="H211">
        <v>91</v>
      </c>
      <c r="I211" s="2">
        <v>12931</v>
      </c>
      <c r="J211" t="s">
        <v>219</v>
      </c>
      <c r="K211" t="s">
        <v>223</v>
      </c>
      <c r="L211" s="6">
        <v>2</v>
      </c>
      <c r="M211" s="6">
        <f t="shared" si="7"/>
        <v>60</v>
      </c>
      <c r="N211" s="4" t="s">
        <v>51</v>
      </c>
      <c r="O211" s="3">
        <v>0.375</v>
      </c>
      <c r="Q211" t="s">
        <v>29</v>
      </c>
    </row>
    <row r="212" spans="1:17" x14ac:dyDescent="0.3">
      <c r="A212" t="s">
        <v>215</v>
      </c>
      <c r="B212" t="s">
        <v>216</v>
      </c>
      <c r="C212" t="s">
        <v>22</v>
      </c>
      <c r="D212">
        <v>406</v>
      </c>
      <c r="E212" t="s">
        <v>217</v>
      </c>
      <c r="F212" t="s">
        <v>218</v>
      </c>
      <c r="G212" s="2">
        <v>46006</v>
      </c>
      <c r="H212">
        <v>91</v>
      </c>
      <c r="I212" s="2">
        <v>12931</v>
      </c>
      <c r="J212" t="s">
        <v>219</v>
      </c>
      <c r="K212" t="s">
        <v>224</v>
      </c>
      <c r="L212" s="6">
        <v>0.5</v>
      </c>
      <c r="M212" s="6">
        <f t="shared" si="7"/>
        <v>15</v>
      </c>
      <c r="N212" s="4" t="s">
        <v>51</v>
      </c>
      <c r="O212" s="3">
        <v>0.375</v>
      </c>
      <c r="Q212" t="s">
        <v>29</v>
      </c>
    </row>
    <row r="213" spans="1:17" x14ac:dyDescent="0.3">
      <c r="A213" t="s">
        <v>215</v>
      </c>
      <c r="B213" t="s">
        <v>216</v>
      </c>
      <c r="C213" t="s">
        <v>22</v>
      </c>
      <c r="D213">
        <v>406</v>
      </c>
      <c r="E213" t="s">
        <v>217</v>
      </c>
      <c r="F213" t="s">
        <v>218</v>
      </c>
      <c r="G213" s="2">
        <v>46006</v>
      </c>
      <c r="H213">
        <v>91</v>
      </c>
      <c r="I213" s="2">
        <v>12931</v>
      </c>
      <c r="J213" t="s">
        <v>219</v>
      </c>
      <c r="K213" t="s">
        <v>225</v>
      </c>
      <c r="L213" s="6">
        <v>1</v>
      </c>
      <c r="M213" s="6">
        <f t="shared" si="7"/>
        <v>30</v>
      </c>
      <c r="N213" s="4" t="s">
        <v>226</v>
      </c>
      <c r="O213" s="3">
        <v>0.375</v>
      </c>
      <c r="P213" t="s">
        <v>228</v>
      </c>
      <c r="Q213" t="s">
        <v>29</v>
      </c>
    </row>
    <row r="214" spans="1:17" x14ac:dyDescent="0.3">
      <c r="A214" t="s">
        <v>215</v>
      </c>
      <c r="B214" t="s">
        <v>216</v>
      </c>
      <c r="C214" t="s">
        <v>22</v>
      </c>
      <c r="D214">
        <v>406</v>
      </c>
      <c r="E214" t="s">
        <v>217</v>
      </c>
      <c r="F214" t="s">
        <v>218</v>
      </c>
      <c r="G214" s="2">
        <v>46006</v>
      </c>
      <c r="H214">
        <v>91</v>
      </c>
      <c r="I214" s="2">
        <v>12931</v>
      </c>
      <c r="J214" t="s">
        <v>219</v>
      </c>
      <c r="K214" t="s">
        <v>227</v>
      </c>
      <c r="L214" s="6">
        <v>1</v>
      </c>
      <c r="M214" s="6">
        <f t="shared" si="7"/>
        <v>30</v>
      </c>
      <c r="N214" s="4" t="s">
        <v>51</v>
      </c>
      <c r="O214" s="3">
        <v>0.375</v>
      </c>
      <c r="Q214" t="s">
        <v>29</v>
      </c>
    </row>
    <row r="215" spans="1:17" x14ac:dyDescent="0.3">
      <c r="A215" t="s">
        <v>215</v>
      </c>
      <c r="B215" t="s">
        <v>216</v>
      </c>
      <c r="C215" t="s">
        <v>22</v>
      </c>
      <c r="D215">
        <v>406</v>
      </c>
      <c r="E215" t="s">
        <v>217</v>
      </c>
      <c r="F215" t="s">
        <v>218</v>
      </c>
      <c r="G215" s="2">
        <v>46006</v>
      </c>
      <c r="H215">
        <v>91</v>
      </c>
      <c r="I215" s="2">
        <v>12931</v>
      </c>
      <c r="J215" t="s">
        <v>219</v>
      </c>
      <c r="K215" t="s">
        <v>122</v>
      </c>
      <c r="L215" s="6">
        <v>1</v>
      </c>
      <c r="M215" s="6">
        <f t="shared" si="7"/>
        <v>30</v>
      </c>
      <c r="N215" s="4" t="s">
        <v>51</v>
      </c>
      <c r="O215" s="3">
        <v>0.54166666666666663</v>
      </c>
      <c r="Q215" t="s">
        <v>29</v>
      </c>
    </row>
    <row r="216" spans="1:17" x14ac:dyDescent="0.3">
      <c r="A216" t="s">
        <v>215</v>
      </c>
      <c r="B216" t="s">
        <v>216</v>
      </c>
      <c r="C216" t="s">
        <v>22</v>
      </c>
      <c r="D216">
        <v>406</v>
      </c>
      <c r="E216" t="s">
        <v>217</v>
      </c>
      <c r="F216" t="s">
        <v>218</v>
      </c>
      <c r="G216" s="2">
        <v>46006</v>
      </c>
      <c r="H216">
        <v>91</v>
      </c>
      <c r="I216" s="2">
        <v>12931</v>
      </c>
      <c r="J216" t="s">
        <v>219</v>
      </c>
      <c r="K216" t="s">
        <v>136</v>
      </c>
      <c r="L216" s="6">
        <v>1</v>
      </c>
      <c r="M216" s="6">
        <f t="shared" si="7"/>
        <v>30</v>
      </c>
      <c r="N216" s="4" t="s">
        <v>51</v>
      </c>
      <c r="O216" s="3">
        <v>0.875</v>
      </c>
      <c r="Q216" t="s">
        <v>29</v>
      </c>
    </row>
    <row r="217" spans="1:17" x14ac:dyDescent="0.3">
      <c r="A217" t="s">
        <v>215</v>
      </c>
      <c r="B217" t="s">
        <v>216</v>
      </c>
      <c r="C217" t="s">
        <v>22</v>
      </c>
      <c r="D217">
        <v>406</v>
      </c>
      <c r="E217" t="s">
        <v>217</v>
      </c>
      <c r="F217" t="s">
        <v>218</v>
      </c>
      <c r="G217" s="2">
        <v>46006</v>
      </c>
      <c r="H217">
        <v>91</v>
      </c>
      <c r="I217" s="2">
        <v>12931</v>
      </c>
      <c r="J217" t="s">
        <v>219</v>
      </c>
      <c r="K217" t="s">
        <v>225</v>
      </c>
      <c r="L217" s="6">
        <v>1</v>
      </c>
      <c r="M217" s="6">
        <f t="shared" si="7"/>
        <v>30</v>
      </c>
      <c r="N217" s="4" t="s">
        <v>226</v>
      </c>
      <c r="O217" s="3">
        <v>0.875</v>
      </c>
      <c r="P217" t="s">
        <v>229</v>
      </c>
      <c r="Q217" t="s">
        <v>29</v>
      </c>
    </row>
    <row r="218" spans="1:17" x14ac:dyDescent="0.3">
      <c r="A218" t="s">
        <v>215</v>
      </c>
      <c r="B218" t="s">
        <v>216</v>
      </c>
      <c r="C218" t="s">
        <v>22</v>
      </c>
      <c r="D218">
        <v>406</v>
      </c>
      <c r="E218" t="s">
        <v>217</v>
      </c>
      <c r="F218" t="s">
        <v>218</v>
      </c>
      <c r="G218" s="2">
        <v>46006</v>
      </c>
      <c r="H218">
        <v>91</v>
      </c>
      <c r="I218" s="2">
        <v>12931</v>
      </c>
      <c r="J218" t="s">
        <v>219</v>
      </c>
      <c r="K218" t="s">
        <v>230</v>
      </c>
      <c r="L218" s="6">
        <v>1</v>
      </c>
      <c r="M218" s="6">
        <f t="shared" si="7"/>
        <v>30</v>
      </c>
      <c r="N218" s="4" t="s">
        <v>152</v>
      </c>
      <c r="O218" s="3">
        <v>0.875</v>
      </c>
      <c r="P218" t="s">
        <v>231</v>
      </c>
      <c r="Q218" t="s">
        <v>150</v>
      </c>
    </row>
    <row r="219" spans="1:17" x14ac:dyDescent="0.3">
      <c r="A219" t="s">
        <v>215</v>
      </c>
      <c r="B219" t="s">
        <v>216</v>
      </c>
      <c r="C219" t="s">
        <v>22</v>
      </c>
      <c r="D219">
        <v>406</v>
      </c>
      <c r="E219" t="s">
        <v>217</v>
      </c>
      <c r="F219" t="s">
        <v>218</v>
      </c>
      <c r="G219" s="2">
        <v>46006</v>
      </c>
      <c r="H219">
        <v>91</v>
      </c>
      <c r="I219" s="2">
        <v>12931</v>
      </c>
      <c r="J219" t="s">
        <v>219</v>
      </c>
      <c r="K219" t="s">
        <v>232</v>
      </c>
      <c r="L219" s="6">
        <v>1</v>
      </c>
      <c r="N219" s="4" t="s">
        <v>51</v>
      </c>
      <c r="O219" s="3">
        <v>0.375</v>
      </c>
      <c r="P219" t="s">
        <v>233</v>
      </c>
      <c r="Q219" t="s">
        <v>74</v>
      </c>
    </row>
    <row r="220" spans="1:17" x14ac:dyDescent="0.3">
      <c r="A220" t="s">
        <v>215</v>
      </c>
      <c r="B220" t="s">
        <v>216</v>
      </c>
      <c r="C220" t="s">
        <v>22</v>
      </c>
      <c r="D220">
        <v>406</v>
      </c>
      <c r="E220" t="s">
        <v>217</v>
      </c>
      <c r="F220" t="s">
        <v>218</v>
      </c>
      <c r="G220" s="2">
        <v>46006</v>
      </c>
      <c r="H220">
        <v>91</v>
      </c>
      <c r="I220" s="2">
        <v>12931</v>
      </c>
      <c r="J220" t="s">
        <v>219</v>
      </c>
      <c r="K220" t="s">
        <v>232</v>
      </c>
      <c r="L220" s="6">
        <v>1</v>
      </c>
      <c r="N220" s="4" t="s">
        <v>51</v>
      </c>
      <c r="O220" s="3">
        <v>0.875</v>
      </c>
      <c r="P220" t="s">
        <v>233</v>
      </c>
      <c r="Q220" t="s">
        <v>74</v>
      </c>
    </row>
    <row r="221" spans="1:17" x14ac:dyDescent="0.3">
      <c r="A221" t="s">
        <v>215</v>
      </c>
      <c r="B221" t="s">
        <v>216</v>
      </c>
      <c r="C221" t="s">
        <v>22</v>
      </c>
      <c r="D221">
        <v>406</v>
      </c>
      <c r="E221" t="s">
        <v>217</v>
      </c>
      <c r="F221" t="s">
        <v>218</v>
      </c>
      <c r="G221" s="2">
        <v>46006</v>
      </c>
      <c r="H221">
        <v>91</v>
      </c>
      <c r="I221" s="2">
        <v>12931</v>
      </c>
      <c r="J221" t="s">
        <v>219</v>
      </c>
      <c r="K221" t="s">
        <v>72</v>
      </c>
      <c r="L221" s="6">
        <v>5</v>
      </c>
      <c r="N221" s="4" t="s">
        <v>56</v>
      </c>
      <c r="Q221" t="s">
        <v>74</v>
      </c>
    </row>
    <row r="222" spans="1:17" x14ac:dyDescent="0.3">
      <c r="A222" t="s">
        <v>234</v>
      </c>
      <c r="B222" t="s">
        <v>235</v>
      </c>
      <c r="C222" t="s">
        <v>112</v>
      </c>
      <c r="D222">
        <v>404</v>
      </c>
      <c r="E222" t="s">
        <v>236</v>
      </c>
      <c r="F222" t="s">
        <v>237</v>
      </c>
      <c r="G222" s="2">
        <v>46182</v>
      </c>
      <c r="H222">
        <v>76</v>
      </c>
      <c r="I222" s="2">
        <v>18421</v>
      </c>
      <c r="J222" t="s">
        <v>238</v>
      </c>
      <c r="K222" t="s">
        <v>239</v>
      </c>
      <c r="L222" s="6">
        <v>1</v>
      </c>
      <c r="M222" s="6">
        <f t="shared" ref="M222:M236" si="8">L222*30</f>
        <v>30</v>
      </c>
      <c r="N222" s="4" t="s">
        <v>51</v>
      </c>
      <c r="O222" s="3">
        <v>0.29166666666666669</v>
      </c>
      <c r="P222" t="s">
        <v>240</v>
      </c>
      <c r="Q222" t="s">
        <v>29</v>
      </c>
    </row>
    <row r="223" spans="1:17" x14ac:dyDescent="0.3">
      <c r="A223" t="s">
        <v>234</v>
      </c>
      <c r="B223" t="s">
        <v>235</v>
      </c>
      <c r="C223" t="s">
        <v>112</v>
      </c>
      <c r="D223">
        <v>404</v>
      </c>
      <c r="E223" t="s">
        <v>236</v>
      </c>
      <c r="F223" t="s">
        <v>237</v>
      </c>
      <c r="G223" s="2">
        <v>46182</v>
      </c>
      <c r="H223">
        <v>76</v>
      </c>
      <c r="I223" s="2">
        <v>18421</v>
      </c>
      <c r="J223" t="s">
        <v>238</v>
      </c>
      <c r="K223" t="s">
        <v>104</v>
      </c>
      <c r="L223" s="6">
        <v>0.5</v>
      </c>
      <c r="M223" s="6">
        <f t="shared" si="8"/>
        <v>15</v>
      </c>
      <c r="N223" s="4" t="s">
        <v>51</v>
      </c>
      <c r="O223" s="3">
        <v>0.875</v>
      </c>
      <c r="Q223" t="s">
        <v>29</v>
      </c>
    </row>
    <row r="224" spans="1:17" x14ac:dyDescent="0.3">
      <c r="A224" t="s">
        <v>234</v>
      </c>
      <c r="B224" t="s">
        <v>235</v>
      </c>
      <c r="C224" t="s">
        <v>112</v>
      </c>
      <c r="D224">
        <v>404</v>
      </c>
      <c r="E224" t="s">
        <v>236</v>
      </c>
      <c r="F224" t="s">
        <v>237</v>
      </c>
      <c r="G224" s="2">
        <v>46182</v>
      </c>
      <c r="H224">
        <v>76</v>
      </c>
      <c r="I224" s="2">
        <v>18421</v>
      </c>
      <c r="J224" t="s">
        <v>238</v>
      </c>
      <c r="K224" t="s">
        <v>106</v>
      </c>
      <c r="L224" s="6">
        <v>0.5</v>
      </c>
      <c r="M224" s="6">
        <f t="shared" si="8"/>
        <v>15</v>
      </c>
      <c r="N224" s="4" t="s">
        <v>51</v>
      </c>
      <c r="O224" s="3">
        <v>0.875</v>
      </c>
      <c r="Q224" t="s">
        <v>29</v>
      </c>
    </row>
    <row r="225" spans="1:17" x14ac:dyDescent="0.3">
      <c r="A225" t="s">
        <v>241</v>
      </c>
      <c r="B225" t="s">
        <v>242</v>
      </c>
      <c r="C225" t="s">
        <v>22</v>
      </c>
      <c r="D225">
        <v>207</v>
      </c>
      <c r="E225" t="s">
        <v>23</v>
      </c>
      <c r="F225" t="s">
        <v>243</v>
      </c>
      <c r="G225" s="2">
        <v>46154</v>
      </c>
      <c r="H225">
        <v>78</v>
      </c>
      <c r="I225" s="2">
        <v>17508</v>
      </c>
      <c r="J225" t="s">
        <v>244</v>
      </c>
      <c r="K225" t="s">
        <v>30</v>
      </c>
      <c r="L225" s="6">
        <v>1</v>
      </c>
      <c r="M225" s="6">
        <f t="shared" si="8"/>
        <v>30</v>
      </c>
      <c r="N225" s="4" t="s">
        <v>52</v>
      </c>
      <c r="O225" s="3">
        <v>0.29166666666666669</v>
      </c>
      <c r="Q225" t="s">
        <v>150</v>
      </c>
    </row>
    <row r="226" spans="1:17" x14ac:dyDescent="0.3">
      <c r="A226" t="s">
        <v>241</v>
      </c>
      <c r="B226" t="s">
        <v>242</v>
      </c>
      <c r="C226" t="s">
        <v>22</v>
      </c>
      <c r="D226">
        <v>207</v>
      </c>
      <c r="E226" t="s">
        <v>23</v>
      </c>
      <c r="F226" t="s">
        <v>243</v>
      </c>
      <c r="G226" s="2">
        <v>46154</v>
      </c>
      <c r="H226">
        <v>78</v>
      </c>
      <c r="I226" s="2">
        <v>17508</v>
      </c>
      <c r="J226" t="s">
        <v>244</v>
      </c>
      <c r="K226" t="s">
        <v>245</v>
      </c>
      <c r="L226" s="6">
        <v>1</v>
      </c>
      <c r="M226" s="6">
        <f t="shared" si="8"/>
        <v>30</v>
      </c>
      <c r="N226" s="4" t="s">
        <v>246</v>
      </c>
      <c r="O226" s="3">
        <v>0.375</v>
      </c>
      <c r="Q226" t="s">
        <v>29</v>
      </c>
    </row>
    <row r="227" spans="1:17" x14ac:dyDescent="0.3">
      <c r="A227" t="s">
        <v>241</v>
      </c>
      <c r="B227" t="s">
        <v>242</v>
      </c>
      <c r="C227" t="s">
        <v>22</v>
      </c>
      <c r="D227">
        <v>207</v>
      </c>
      <c r="E227" t="s">
        <v>23</v>
      </c>
      <c r="F227" t="s">
        <v>243</v>
      </c>
      <c r="G227" s="2">
        <v>46154</v>
      </c>
      <c r="H227">
        <v>78</v>
      </c>
      <c r="I227" s="2">
        <v>17508</v>
      </c>
      <c r="J227" t="s">
        <v>244</v>
      </c>
      <c r="K227" t="s">
        <v>245</v>
      </c>
      <c r="L227" s="6">
        <v>1</v>
      </c>
      <c r="M227" s="6">
        <f t="shared" si="8"/>
        <v>30</v>
      </c>
      <c r="N227" s="4" t="s">
        <v>246</v>
      </c>
      <c r="O227" s="3">
        <v>0.79166666666666663</v>
      </c>
      <c r="Q227" t="s">
        <v>29</v>
      </c>
    </row>
    <row r="228" spans="1:17" x14ac:dyDescent="0.3">
      <c r="A228" t="s">
        <v>241</v>
      </c>
      <c r="B228" t="s">
        <v>242</v>
      </c>
      <c r="C228" t="s">
        <v>22</v>
      </c>
      <c r="D228">
        <v>207</v>
      </c>
      <c r="E228" t="s">
        <v>23</v>
      </c>
      <c r="F228" t="s">
        <v>243</v>
      </c>
      <c r="G228" s="2">
        <v>46154</v>
      </c>
      <c r="H228">
        <v>78</v>
      </c>
      <c r="I228" s="2">
        <v>17508</v>
      </c>
      <c r="J228" t="s">
        <v>244</v>
      </c>
      <c r="K228" t="s">
        <v>80</v>
      </c>
      <c r="L228" s="6">
        <v>1</v>
      </c>
      <c r="M228" s="6">
        <f t="shared" si="8"/>
        <v>30</v>
      </c>
      <c r="N228" s="4" t="s">
        <v>81</v>
      </c>
      <c r="O228" s="3">
        <v>0.375</v>
      </c>
      <c r="Q228" t="s">
        <v>29</v>
      </c>
    </row>
    <row r="229" spans="1:17" x14ac:dyDescent="0.3">
      <c r="A229" t="s">
        <v>241</v>
      </c>
      <c r="B229" t="s">
        <v>242</v>
      </c>
      <c r="C229" t="s">
        <v>22</v>
      </c>
      <c r="D229">
        <v>207</v>
      </c>
      <c r="E229" t="s">
        <v>23</v>
      </c>
      <c r="F229" t="s">
        <v>243</v>
      </c>
      <c r="G229" s="2">
        <v>46154</v>
      </c>
      <c r="H229">
        <v>78</v>
      </c>
      <c r="I229" s="2">
        <v>17508</v>
      </c>
      <c r="J229" t="s">
        <v>244</v>
      </c>
      <c r="K229" t="s">
        <v>80</v>
      </c>
      <c r="L229" s="6">
        <v>1</v>
      </c>
      <c r="M229" s="6">
        <f t="shared" si="8"/>
        <v>30</v>
      </c>
      <c r="N229" s="4" t="s">
        <v>81</v>
      </c>
      <c r="O229" s="3">
        <v>0.875</v>
      </c>
      <c r="Q229" t="s">
        <v>29</v>
      </c>
    </row>
    <row r="230" spans="1:17" x14ac:dyDescent="0.3">
      <c r="A230" t="s">
        <v>241</v>
      </c>
      <c r="B230" t="s">
        <v>242</v>
      </c>
      <c r="C230" t="s">
        <v>22</v>
      </c>
      <c r="D230">
        <v>207</v>
      </c>
      <c r="E230" t="s">
        <v>23</v>
      </c>
      <c r="F230" t="s">
        <v>243</v>
      </c>
      <c r="G230" s="2">
        <v>46154</v>
      </c>
      <c r="H230">
        <v>78</v>
      </c>
      <c r="I230" s="2">
        <v>17508</v>
      </c>
      <c r="J230" t="s">
        <v>244</v>
      </c>
      <c r="K230" t="s">
        <v>153</v>
      </c>
      <c r="L230" s="6">
        <v>1</v>
      </c>
      <c r="M230" s="6">
        <f t="shared" si="8"/>
        <v>30</v>
      </c>
      <c r="N230" s="4" t="s">
        <v>53</v>
      </c>
      <c r="O230" s="3">
        <v>0.375</v>
      </c>
      <c r="Q230" t="s">
        <v>29</v>
      </c>
    </row>
    <row r="231" spans="1:17" x14ac:dyDescent="0.3">
      <c r="A231" t="s">
        <v>241</v>
      </c>
      <c r="B231" t="s">
        <v>242</v>
      </c>
      <c r="C231" t="s">
        <v>22</v>
      </c>
      <c r="D231">
        <v>207</v>
      </c>
      <c r="E231" t="s">
        <v>23</v>
      </c>
      <c r="F231" t="s">
        <v>243</v>
      </c>
      <c r="G231" s="2">
        <v>46154</v>
      </c>
      <c r="H231">
        <v>78</v>
      </c>
      <c r="I231" s="2">
        <v>17508</v>
      </c>
      <c r="J231" t="s">
        <v>244</v>
      </c>
      <c r="K231" t="s">
        <v>153</v>
      </c>
      <c r="L231" s="6">
        <v>1</v>
      </c>
      <c r="M231" s="6">
        <f t="shared" si="8"/>
        <v>30</v>
      </c>
      <c r="N231" s="4" t="s">
        <v>53</v>
      </c>
      <c r="O231" s="3">
        <v>0.875</v>
      </c>
      <c r="Q231" t="s">
        <v>29</v>
      </c>
    </row>
    <row r="232" spans="1:17" x14ac:dyDescent="0.3">
      <c r="A232" t="s">
        <v>241</v>
      </c>
      <c r="B232" t="s">
        <v>242</v>
      </c>
      <c r="C232" t="s">
        <v>22</v>
      </c>
      <c r="D232">
        <v>207</v>
      </c>
      <c r="E232" t="s">
        <v>23</v>
      </c>
      <c r="F232" t="s">
        <v>243</v>
      </c>
      <c r="G232" s="2">
        <v>46154</v>
      </c>
      <c r="H232">
        <v>78</v>
      </c>
      <c r="I232" s="2">
        <v>17508</v>
      </c>
      <c r="J232" t="s">
        <v>244</v>
      </c>
      <c r="K232" t="s">
        <v>247</v>
      </c>
      <c r="L232" s="6">
        <v>1</v>
      </c>
      <c r="M232" s="6">
        <f t="shared" si="8"/>
        <v>30</v>
      </c>
      <c r="N232" s="4" t="s">
        <v>51</v>
      </c>
      <c r="O232" s="3">
        <v>0.375</v>
      </c>
      <c r="Q232" t="s">
        <v>29</v>
      </c>
    </row>
    <row r="233" spans="1:17" x14ac:dyDescent="0.3">
      <c r="A233" t="s">
        <v>241</v>
      </c>
      <c r="B233" t="s">
        <v>242</v>
      </c>
      <c r="C233" t="s">
        <v>22</v>
      </c>
      <c r="D233">
        <v>207</v>
      </c>
      <c r="E233" t="s">
        <v>23</v>
      </c>
      <c r="F233" t="s">
        <v>243</v>
      </c>
      <c r="G233" s="2">
        <v>46154</v>
      </c>
      <c r="H233">
        <v>78</v>
      </c>
      <c r="I233" s="2">
        <v>17508</v>
      </c>
      <c r="J233" t="s">
        <v>244</v>
      </c>
      <c r="K233" t="s">
        <v>248</v>
      </c>
      <c r="L233" s="6">
        <v>1</v>
      </c>
      <c r="M233" s="6">
        <f t="shared" si="8"/>
        <v>30</v>
      </c>
      <c r="N233" s="4" t="s">
        <v>119</v>
      </c>
      <c r="O233" s="3">
        <v>0.375</v>
      </c>
      <c r="Q233" t="s">
        <v>29</v>
      </c>
    </row>
    <row r="234" spans="1:17" x14ac:dyDescent="0.3">
      <c r="A234" t="s">
        <v>241</v>
      </c>
      <c r="B234" t="s">
        <v>242</v>
      </c>
      <c r="C234" t="s">
        <v>22</v>
      </c>
      <c r="D234">
        <v>207</v>
      </c>
      <c r="E234" t="s">
        <v>23</v>
      </c>
      <c r="F234" t="s">
        <v>243</v>
      </c>
      <c r="G234" s="2">
        <v>46154</v>
      </c>
      <c r="H234">
        <v>78</v>
      </c>
      <c r="I234" s="2">
        <v>17508</v>
      </c>
      <c r="J234" t="s">
        <v>244</v>
      </c>
      <c r="K234" t="s">
        <v>249</v>
      </c>
      <c r="L234" s="6">
        <v>2</v>
      </c>
      <c r="M234" s="6">
        <f t="shared" si="8"/>
        <v>60</v>
      </c>
      <c r="N234" s="4" t="s">
        <v>51</v>
      </c>
      <c r="O234" s="3">
        <v>0.875</v>
      </c>
      <c r="Q234" t="s">
        <v>29</v>
      </c>
    </row>
    <row r="235" spans="1:17" x14ac:dyDescent="0.3">
      <c r="A235" t="s">
        <v>241</v>
      </c>
      <c r="B235" t="s">
        <v>242</v>
      </c>
      <c r="C235" t="s">
        <v>22</v>
      </c>
      <c r="D235">
        <v>207</v>
      </c>
      <c r="E235" t="s">
        <v>23</v>
      </c>
      <c r="F235" t="s">
        <v>243</v>
      </c>
      <c r="G235" s="2">
        <v>46154</v>
      </c>
      <c r="H235">
        <v>78</v>
      </c>
      <c r="I235" s="2">
        <v>17508</v>
      </c>
      <c r="J235" t="s">
        <v>244</v>
      </c>
      <c r="K235" t="s">
        <v>104</v>
      </c>
      <c r="L235" s="6">
        <v>2</v>
      </c>
      <c r="M235" s="6">
        <f t="shared" si="8"/>
        <v>60</v>
      </c>
      <c r="N235" s="4" t="s">
        <v>51</v>
      </c>
      <c r="O235" s="3">
        <v>0.875</v>
      </c>
      <c r="Q235" t="s">
        <v>29</v>
      </c>
    </row>
    <row r="236" spans="1:17" x14ac:dyDescent="0.3">
      <c r="A236" t="s">
        <v>241</v>
      </c>
      <c r="B236" t="s">
        <v>242</v>
      </c>
      <c r="C236" t="s">
        <v>22</v>
      </c>
      <c r="D236">
        <v>207</v>
      </c>
      <c r="E236" t="s">
        <v>23</v>
      </c>
      <c r="F236" t="s">
        <v>243</v>
      </c>
      <c r="G236" s="2">
        <v>46154</v>
      </c>
      <c r="H236">
        <v>78</v>
      </c>
      <c r="I236" s="2">
        <v>17508</v>
      </c>
      <c r="J236" t="s">
        <v>244</v>
      </c>
      <c r="K236" t="s">
        <v>250</v>
      </c>
      <c r="L236" s="6">
        <v>1</v>
      </c>
      <c r="M236" s="6">
        <f t="shared" si="8"/>
        <v>30</v>
      </c>
      <c r="N236" s="4" t="s">
        <v>52</v>
      </c>
      <c r="O236" s="3">
        <v>0.875</v>
      </c>
      <c r="Q236" t="s">
        <v>29</v>
      </c>
    </row>
    <row r="237" spans="1:17" x14ac:dyDescent="0.3">
      <c r="A237" t="s">
        <v>241</v>
      </c>
      <c r="B237" t="s">
        <v>242</v>
      </c>
      <c r="C237" t="s">
        <v>22</v>
      </c>
      <c r="D237">
        <v>207</v>
      </c>
      <c r="E237" t="s">
        <v>23</v>
      </c>
      <c r="F237" t="s">
        <v>243</v>
      </c>
      <c r="G237" s="2">
        <v>46154</v>
      </c>
      <c r="H237">
        <v>78</v>
      </c>
      <c r="I237" s="2">
        <v>17508</v>
      </c>
      <c r="J237" t="s">
        <v>244</v>
      </c>
      <c r="K237" t="s">
        <v>251</v>
      </c>
      <c r="L237" s="6">
        <v>1</v>
      </c>
      <c r="N237" s="4" t="s">
        <v>51</v>
      </c>
      <c r="P237" t="s">
        <v>252</v>
      </c>
      <c r="Q237" t="s">
        <v>74</v>
      </c>
    </row>
    <row r="238" spans="1:17" x14ac:dyDescent="0.3">
      <c r="A238" t="s">
        <v>253</v>
      </c>
      <c r="B238" t="s">
        <v>254</v>
      </c>
      <c r="C238" t="s">
        <v>22</v>
      </c>
      <c r="D238">
        <v>407</v>
      </c>
      <c r="E238" t="s">
        <v>23</v>
      </c>
      <c r="F238" t="s">
        <v>183</v>
      </c>
      <c r="G238" s="2">
        <v>45427</v>
      </c>
      <c r="H238">
        <v>61</v>
      </c>
      <c r="I238" s="2">
        <v>23833</v>
      </c>
      <c r="J238" t="s">
        <v>255</v>
      </c>
      <c r="K238" t="s">
        <v>256</v>
      </c>
      <c r="L238" s="6">
        <v>1</v>
      </c>
      <c r="M238" s="6">
        <f t="shared" ref="M238:M259" si="9">L238*30</f>
        <v>30</v>
      </c>
      <c r="N238" s="4" t="s">
        <v>51</v>
      </c>
      <c r="O238" s="3">
        <v>0.29166666666666669</v>
      </c>
      <c r="Q238" t="s">
        <v>29</v>
      </c>
    </row>
    <row r="239" spans="1:17" x14ac:dyDescent="0.3">
      <c r="A239" t="s">
        <v>253</v>
      </c>
      <c r="B239" t="s">
        <v>254</v>
      </c>
      <c r="C239" t="s">
        <v>22</v>
      </c>
      <c r="D239">
        <v>407</v>
      </c>
      <c r="E239" t="s">
        <v>23</v>
      </c>
      <c r="F239" t="s">
        <v>183</v>
      </c>
      <c r="G239" s="2">
        <v>45427</v>
      </c>
      <c r="H239">
        <v>61</v>
      </c>
      <c r="I239" s="2">
        <v>23833</v>
      </c>
      <c r="J239" t="s">
        <v>255</v>
      </c>
      <c r="K239" t="s">
        <v>256</v>
      </c>
      <c r="L239" s="6">
        <v>1</v>
      </c>
      <c r="M239" s="6">
        <f t="shared" si="9"/>
        <v>30</v>
      </c>
      <c r="N239" s="4" t="s">
        <v>51</v>
      </c>
      <c r="O239" s="3">
        <v>0.625</v>
      </c>
      <c r="Q239" t="s">
        <v>29</v>
      </c>
    </row>
    <row r="240" spans="1:17" x14ac:dyDescent="0.3">
      <c r="A240" t="s">
        <v>253</v>
      </c>
      <c r="B240" t="s">
        <v>254</v>
      </c>
      <c r="C240" t="s">
        <v>22</v>
      </c>
      <c r="D240">
        <v>407</v>
      </c>
      <c r="E240" t="s">
        <v>23</v>
      </c>
      <c r="F240" t="s">
        <v>183</v>
      </c>
      <c r="G240" s="2">
        <v>45427</v>
      </c>
      <c r="H240">
        <v>61</v>
      </c>
      <c r="I240" s="2">
        <v>23833</v>
      </c>
      <c r="J240" t="s">
        <v>255</v>
      </c>
      <c r="K240" t="s">
        <v>256</v>
      </c>
      <c r="L240" s="6">
        <v>1</v>
      </c>
      <c r="M240" s="6">
        <f t="shared" si="9"/>
        <v>30</v>
      </c>
      <c r="N240" s="4" t="s">
        <v>51</v>
      </c>
      <c r="O240" s="3">
        <v>0.95833333333333337</v>
      </c>
      <c r="Q240" t="s">
        <v>29</v>
      </c>
    </row>
    <row r="241" spans="1:17" x14ac:dyDescent="0.3">
      <c r="A241" t="s">
        <v>253</v>
      </c>
      <c r="B241" t="s">
        <v>254</v>
      </c>
      <c r="C241" t="s">
        <v>22</v>
      </c>
      <c r="D241">
        <v>407</v>
      </c>
      <c r="E241" t="s">
        <v>23</v>
      </c>
      <c r="F241" t="s">
        <v>183</v>
      </c>
      <c r="G241" s="2">
        <v>45427</v>
      </c>
      <c r="H241">
        <v>61</v>
      </c>
      <c r="I241" s="2">
        <v>23833</v>
      </c>
      <c r="J241" t="s">
        <v>255</v>
      </c>
      <c r="K241" t="s">
        <v>99</v>
      </c>
      <c r="L241" s="6">
        <v>1</v>
      </c>
      <c r="M241" s="6">
        <f t="shared" si="9"/>
        <v>30</v>
      </c>
      <c r="N241" s="4" t="s">
        <v>51</v>
      </c>
      <c r="O241" s="3">
        <v>0.375</v>
      </c>
      <c r="Q241" t="s">
        <v>29</v>
      </c>
    </row>
    <row r="242" spans="1:17" x14ac:dyDescent="0.3">
      <c r="A242" t="s">
        <v>253</v>
      </c>
      <c r="B242" t="s">
        <v>254</v>
      </c>
      <c r="C242" t="s">
        <v>22</v>
      </c>
      <c r="D242">
        <v>407</v>
      </c>
      <c r="E242" t="s">
        <v>23</v>
      </c>
      <c r="F242" t="s">
        <v>183</v>
      </c>
      <c r="G242" s="2">
        <v>45427</v>
      </c>
      <c r="H242">
        <v>61</v>
      </c>
      <c r="I242" s="2">
        <v>23833</v>
      </c>
      <c r="J242" t="s">
        <v>255</v>
      </c>
      <c r="K242" t="s">
        <v>99</v>
      </c>
      <c r="L242" s="6">
        <v>1</v>
      </c>
      <c r="M242" s="6">
        <f t="shared" si="9"/>
        <v>30</v>
      </c>
      <c r="N242" s="4" t="s">
        <v>51</v>
      </c>
      <c r="O242" s="3">
        <v>0.875</v>
      </c>
      <c r="Q242" t="s">
        <v>29</v>
      </c>
    </row>
    <row r="243" spans="1:17" x14ac:dyDescent="0.3">
      <c r="A243" t="s">
        <v>253</v>
      </c>
      <c r="B243" t="s">
        <v>254</v>
      </c>
      <c r="C243" t="s">
        <v>22</v>
      </c>
      <c r="D243">
        <v>407</v>
      </c>
      <c r="E243" t="s">
        <v>23</v>
      </c>
      <c r="F243" t="s">
        <v>183</v>
      </c>
      <c r="G243" s="2">
        <v>45427</v>
      </c>
      <c r="H243">
        <v>61</v>
      </c>
      <c r="I243" s="2">
        <v>23833</v>
      </c>
      <c r="J243" t="s">
        <v>255</v>
      </c>
      <c r="K243" t="s">
        <v>80</v>
      </c>
      <c r="L243" s="6">
        <v>1</v>
      </c>
      <c r="M243" s="6">
        <f t="shared" si="9"/>
        <v>30</v>
      </c>
      <c r="N243" s="4" t="s">
        <v>81</v>
      </c>
      <c r="O243" s="3">
        <v>0.375</v>
      </c>
      <c r="Q243" t="s">
        <v>29</v>
      </c>
    </row>
    <row r="244" spans="1:17" x14ac:dyDescent="0.3">
      <c r="A244" t="s">
        <v>253</v>
      </c>
      <c r="B244" t="s">
        <v>254</v>
      </c>
      <c r="C244" t="s">
        <v>22</v>
      </c>
      <c r="D244">
        <v>407</v>
      </c>
      <c r="E244" t="s">
        <v>23</v>
      </c>
      <c r="F244" t="s">
        <v>183</v>
      </c>
      <c r="G244" s="2">
        <v>45427</v>
      </c>
      <c r="H244">
        <v>61</v>
      </c>
      <c r="I244" s="2">
        <v>23833</v>
      </c>
      <c r="J244" t="s">
        <v>255</v>
      </c>
      <c r="K244" t="s">
        <v>80</v>
      </c>
      <c r="L244" s="6">
        <v>1</v>
      </c>
      <c r="M244" s="6">
        <f t="shared" si="9"/>
        <v>30</v>
      </c>
      <c r="N244" s="4" t="s">
        <v>81</v>
      </c>
      <c r="O244" s="3">
        <v>0.875</v>
      </c>
      <c r="Q244" t="s">
        <v>29</v>
      </c>
    </row>
    <row r="245" spans="1:17" x14ac:dyDescent="0.3">
      <c r="A245" t="s">
        <v>253</v>
      </c>
      <c r="B245" t="s">
        <v>254</v>
      </c>
      <c r="C245" t="s">
        <v>22</v>
      </c>
      <c r="D245">
        <v>407</v>
      </c>
      <c r="E245" t="s">
        <v>23</v>
      </c>
      <c r="F245" t="s">
        <v>183</v>
      </c>
      <c r="G245" s="2">
        <v>45427</v>
      </c>
      <c r="H245">
        <v>61</v>
      </c>
      <c r="I245" s="2">
        <v>23833</v>
      </c>
      <c r="J245" t="s">
        <v>255</v>
      </c>
      <c r="K245" t="s">
        <v>153</v>
      </c>
      <c r="L245" s="6">
        <v>1</v>
      </c>
      <c r="M245" s="6">
        <f t="shared" si="9"/>
        <v>30</v>
      </c>
      <c r="N245" s="4" t="s">
        <v>53</v>
      </c>
      <c r="O245" s="3">
        <v>0.375</v>
      </c>
      <c r="Q245" t="s">
        <v>29</v>
      </c>
    </row>
    <row r="246" spans="1:17" x14ac:dyDescent="0.3">
      <c r="A246" t="s">
        <v>253</v>
      </c>
      <c r="B246" t="s">
        <v>254</v>
      </c>
      <c r="C246" t="s">
        <v>22</v>
      </c>
      <c r="D246">
        <v>407</v>
      </c>
      <c r="E246" t="s">
        <v>23</v>
      </c>
      <c r="F246" t="s">
        <v>183</v>
      </c>
      <c r="G246" s="2">
        <v>45427</v>
      </c>
      <c r="H246">
        <v>61</v>
      </c>
      <c r="I246" s="2">
        <v>23833</v>
      </c>
      <c r="J246" t="s">
        <v>255</v>
      </c>
      <c r="K246" t="s">
        <v>153</v>
      </c>
      <c r="L246" s="6">
        <v>1</v>
      </c>
      <c r="M246" s="6">
        <f t="shared" si="9"/>
        <v>30</v>
      </c>
      <c r="N246" s="4" t="s">
        <v>53</v>
      </c>
      <c r="O246" s="3">
        <v>0.875</v>
      </c>
      <c r="Q246" t="s">
        <v>29</v>
      </c>
    </row>
    <row r="247" spans="1:17" x14ac:dyDescent="0.3">
      <c r="A247" t="s">
        <v>253</v>
      </c>
      <c r="B247" t="s">
        <v>254</v>
      </c>
      <c r="C247" t="s">
        <v>22</v>
      </c>
      <c r="D247">
        <v>407</v>
      </c>
      <c r="E247" t="s">
        <v>23</v>
      </c>
      <c r="F247" t="s">
        <v>183</v>
      </c>
      <c r="G247" s="2">
        <v>45427</v>
      </c>
      <c r="H247">
        <v>61</v>
      </c>
      <c r="I247" s="2">
        <v>23833</v>
      </c>
      <c r="J247" t="s">
        <v>255</v>
      </c>
      <c r="K247" t="s">
        <v>257</v>
      </c>
      <c r="L247" s="6">
        <v>1</v>
      </c>
      <c r="M247" s="6">
        <f t="shared" si="9"/>
        <v>30</v>
      </c>
      <c r="N247" s="4" t="s">
        <v>51</v>
      </c>
      <c r="O247" s="3">
        <v>0.375</v>
      </c>
      <c r="Q247" t="s">
        <v>29</v>
      </c>
    </row>
    <row r="248" spans="1:17" x14ac:dyDescent="0.3">
      <c r="A248" t="s">
        <v>253</v>
      </c>
      <c r="B248" t="s">
        <v>254</v>
      </c>
      <c r="C248" t="s">
        <v>22</v>
      </c>
      <c r="D248">
        <v>407</v>
      </c>
      <c r="E248" t="s">
        <v>23</v>
      </c>
      <c r="F248" t="s">
        <v>183</v>
      </c>
      <c r="G248" s="2">
        <v>45427</v>
      </c>
      <c r="H248">
        <v>61</v>
      </c>
      <c r="I248" s="2">
        <v>23833</v>
      </c>
      <c r="J248" t="s">
        <v>255</v>
      </c>
      <c r="K248" t="s">
        <v>257</v>
      </c>
      <c r="L248" s="6">
        <v>1</v>
      </c>
      <c r="M248" s="6">
        <f t="shared" si="9"/>
        <v>30</v>
      </c>
      <c r="N248" s="4" t="s">
        <v>51</v>
      </c>
      <c r="O248" s="3">
        <v>0.875</v>
      </c>
      <c r="Q248" t="s">
        <v>29</v>
      </c>
    </row>
    <row r="249" spans="1:17" x14ac:dyDescent="0.3">
      <c r="A249" t="s">
        <v>253</v>
      </c>
      <c r="B249" t="s">
        <v>254</v>
      </c>
      <c r="C249" t="s">
        <v>22</v>
      </c>
      <c r="D249">
        <v>407</v>
      </c>
      <c r="E249" t="s">
        <v>23</v>
      </c>
      <c r="F249" t="s">
        <v>183</v>
      </c>
      <c r="G249" s="2">
        <v>45427</v>
      </c>
      <c r="H249">
        <v>61</v>
      </c>
      <c r="I249" s="2">
        <v>23833</v>
      </c>
      <c r="J249" t="s">
        <v>255</v>
      </c>
      <c r="K249" t="s">
        <v>258</v>
      </c>
      <c r="L249" s="6">
        <v>1</v>
      </c>
      <c r="M249" s="6">
        <f t="shared" si="9"/>
        <v>30</v>
      </c>
      <c r="N249" s="4" t="s">
        <v>51</v>
      </c>
      <c r="O249" s="3">
        <v>0.375</v>
      </c>
      <c r="Q249" t="s">
        <v>29</v>
      </c>
    </row>
    <row r="250" spans="1:17" x14ac:dyDescent="0.3">
      <c r="A250" t="s">
        <v>253</v>
      </c>
      <c r="B250" t="s">
        <v>254</v>
      </c>
      <c r="C250" t="s">
        <v>22</v>
      </c>
      <c r="D250">
        <v>407</v>
      </c>
      <c r="E250" t="s">
        <v>23</v>
      </c>
      <c r="F250" t="s">
        <v>183</v>
      </c>
      <c r="G250" s="2">
        <v>45427</v>
      </c>
      <c r="H250">
        <v>61</v>
      </c>
      <c r="I250" s="2">
        <v>23833</v>
      </c>
      <c r="J250" t="s">
        <v>255</v>
      </c>
      <c r="K250" t="s">
        <v>259</v>
      </c>
      <c r="L250" s="6">
        <v>1</v>
      </c>
      <c r="M250" s="6">
        <f t="shared" si="9"/>
        <v>30</v>
      </c>
      <c r="N250" s="4" t="s">
        <v>51</v>
      </c>
      <c r="O250" s="3">
        <v>0.375</v>
      </c>
      <c r="Q250" t="s">
        <v>29</v>
      </c>
    </row>
    <row r="251" spans="1:17" x14ac:dyDescent="0.3">
      <c r="A251" t="s">
        <v>253</v>
      </c>
      <c r="B251" t="s">
        <v>254</v>
      </c>
      <c r="C251" t="s">
        <v>22</v>
      </c>
      <c r="D251">
        <v>407</v>
      </c>
      <c r="E251" t="s">
        <v>23</v>
      </c>
      <c r="F251" t="s">
        <v>183</v>
      </c>
      <c r="G251" s="2">
        <v>45427</v>
      </c>
      <c r="H251">
        <v>61</v>
      </c>
      <c r="I251" s="2">
        <v>23833</v>
      </c>
      <c r="J251" t="s">
        <v>255</v>
      </c>
      <c r="K251" t="s">
        <v>260</v>
      </c>
      <c r="L251" s="6">
        <v>30</v>
      </c>
      <c r="M251" s="6">
        <f t="shared" si="9"/>
        <v>900</v>
      </c>
      <c r="N251" s="4" t="s">
        <v>261</v>
      </c>
      <c r="O251" s="3">
        <v>0.375</v>
      </c>
      <c r="Q251" t="s">
        <v>29</v>
      </c>
    </row>
    <row r="252" spans="1:17" x14ac:dyDescent="0.3">
      <c r="A252" t="s">
        <v>253</v>
      </c>
      <c r="B252" t="s">
        <v>254</v>
      </c>
      <c r="C252" t="s">
        <v>22</v>
      </c>
      <c r="D252">
        <v>407</v>
      </c>
      <c r="E252" t="s">
        <v>23</v>
      </c>
      <c r="F252" t="s">
        <v>183</v>
      </c>
      <c r="G252" s="2">
        <v>45427</v>
      </c>
      <c r="H252">
        <v>61</v>
      </c>
      <c r="I252" s="2">
        <v>23833</v>
      </c>
      <c r="J252" t="s">
        <v>255</v>
      </c>
      <c r="K252" t="s">
        <v>262</v>
      </c>
      <c r="L252" s="6">
        <v>0.5</v>
      </c>
      <c r="M252" s="6">
        <f t="shared" si="9"/>
        <v>15</v>
      </c>
      <c r="N252" s="4" t="s">
        <v>51</v>
      </c>
      <c r="O252" s="3">
        <v>0.375</v>
      </c>
      <c r="Q252" t="s">
        <v>29</v>
      </c>
    </row>
    <row r="253" spans="1:17" x14ac:dyDescent="0.3">
      <c r="A253" t="s">
        <v>253</v>
      </c>
      <c r="B253" t="s">
        <v>254</v>
      </c>
      <c r="C253" t="s">
        <v>22</v>
      </c>
      <c r="D253">
        <v>407</v>
      </c>
      <c r="E253" t="s">
        <v>23</v>
      </c>
      <c r="F253" t="s">
        <v>183</v>
      </c>
      <c r="G253" s="2">
        <v>45427</v>
      </c>
      <c r="H253">
        <v>61</v>
      </c>
      <c r="I253" s="2">
        <v>23833</v>
      </c>
      <c r="J253" t="s">
        <v>255</v>
      </c>
      <c r="K253" t="s">
        <v>263</v>
      </c>
      <c r="L253" s="6">
        <v>1</v>
      </c>
      <c r="M253" s="6">
        <f t="shared" si="9"/>
        <v>30</v>
      </c>
      <c r="N253" s="4" t="s">
        <v>51</v>
      </c>
      <c r="O253" s="3">
        <v>0.375</v>
      </c>
      <c r="Q253" t="s">
        <v>29</v>
      </c>
    </row>
    <row r="254" spans="1:17" x14ac:dyDescent="0.3">
      <c r="A254" t="s">
        <v>253</v>
      </c>
      <c r="B254" t="s">
        <v>254</v>
      </c>
      <c r="C254" t="s">
        <v>22</v>
      </c>
      <c r="D254">
        <v>407</v>
      </c>
      <c r="E254" t="s">
        <v>23</v>
      </c>
      <c r="F254" t="s">
        <v>183</v>
      </c>
      <c r="G254" s="2">
        <v>45427</v>
      </c>
      <c r="H254">
        <v>61</v>
      </c>
      <c r="I254" s="2">
        <v>23833</v>
      </c>
      <c r="J254" t="s">
        <v>255</v>
      </c>
      <c r="K254" t="s">
        <v>136</v>
      </c>
      <c r="L254" s="6">
        <v>1</v>
      </c>
      <c r="M254" s="6">
        <f t="shared" si="9"/>
        <v>30</v>
      </c>
      <c r="N254" s="4" t="s">
        <v>51</v>
      </c>
      <c r="O254" s="3">
        <v>0.375</v>
      </c>
      <c r="Q254" t="s">
        <v>29</v>
      </c>
    </row>
    <row r="255" spans="1:17" x14ac:dyDescent="0.3">
      <c r="A255" t="s">
        <v>253</v>
      </c>
      <c r="B255" t="s">
        <v>254</v>
      </c>
      <c r="C255" t="s">
        <v>22</v>
      </c>
      <c r="D255">
        <v>407</v>
      </c>
      <c r="E255" t="s">
        <v>23</v>
      </c>
      <c r="F255" t="s">
        <v>183</v>
      </c>
      <c r="G255" s="2">
        <v>45427</v>
      </c>
      <c r="H255">
        <v>61</v>
      </c>
      <c r="I255" s="2">
        <v>23833</v>
      </c>
      <c r="J255" t="s">
        <v>255</v>
      </c>
      <c r="K255" t="s">
        <v>30</v>
      </c>
      <c r="L255" s="6">
        <v>1</v>
      </c>
      <c r="M255" s="6">
        <f t="shared" si="9"/>
        <v>30</v>
      </c>
      <c r="N255" s="4" t="s">
        <v>52</v>
      </c>
      <c r="O255" s="3">
        <v>0.375</v>
      </c>
      <c r="Q255" t="s">
        <v>29</v>
      </c>
    </row>
    <row r="256" spans="1:17" x14ac:dyDescent="0.3">
      <c r="A256" t="s">
        <v>253</v>
      </c>
      <c r="B256" t="s">
        <v>254</v>
      </c>
      <c r="C256" t="s">
        <v>22</v>
      </c>
      <c r="D256">
        <v>407</v>
      </c>
      <c r="E256" t="s">
        <v>23</v>
      </c>
      <c r="F256" t="s">
        <v>183</v>
      </c>
      <c r="G256" s="2">
        <v>45427</v>
      </c>
      <c r="H256">
        <v>61</v>
      </c>
      <c r="I256" s="2">
        <v>23833</v>
      </c>
      <c r="J256" t="s">
        <v>255</v>
      </c>
      <c r="K256" t="s">
        <v>38</v>
      </c>
      <c r="L256" s="6">
        <v>2</v>
      </c>
      <c r="M256" s="6">
        <f t="shared" si="9"/>
        <v>60</v>
      </c>
      <c r="N256" s="4" t="s">
        <v>51</v>
      </c>
      <c r="O256" s="3">
        <v>0.54166666666666663</v>
      </c>
      <c r="Q256" t="s">
        <v>29</v>
      </c>
    </row>
    <row r="257" spans="1:17" x14ac:dyDescent="0.3">
      <c r="A257" t="s">
        <v>253</v>
      </c>
      <c r="B257" t="s">
        <v>254</v>
      </c>
      <c r="C257" t="s">
        <v>22</v>
      </c>
      <c r="D257">
        <v>407</v>
      </c>
      <c r="E257" t="s">
        <v>23</v>
      </c>
      <c r="F257" t="s">
        <v>183</v>
      </c>
      <c r="G257" s="2">
        <v>45427</v>
      </c>
      <c r="H257">
        <v>61</v>
      </c>
      <c r="I257" s="2">
        <v>23833</v>
      </c>
      <c r="J257" t="s">
        <v>255</v>
      </c>
      <c r="K257" t="s">
        <v>165</v>
      </c>
      <c r="L257" s="6">
        <v>1</v>
      </c>
      <c r="M257" s="6">
        <f t="shared" si="9"/>
        <v>30</v>
      </c>
      <c r="N257" s="4" t="s">
        <v>51</v>
      </c>
      <c r="O257" s="3">
        <v>0.625</v>
      </c>
      <c r="Q257" t="s">
        <v>29</v>
      </c>
    </row>
    <row r="258" spans="1:17" x14ac:dyDescent="0.3">
      <c r="A258" t="s">
        <v>253</v>
      </c>
      <c r="B258" t="s">
        <v>254</v>
      </c>
      <c r="C258" t="s">
        <v>22</v>
      </c>
      <c r="D258">
        <v>407</v>
      </c>
      <c r="E258" t="s">
        <v>23</v>
      </c>
      <c r="F258" t="s">
        <v>183</v>
      </c>
      <c r="G258" s="2">
        <v>45427</v>
      </c>
      <c r="H258">
        <v>61</v>
      </c>
      <c r="I258" s="2">
        <v>23833</v>
      </c>
      <c r="J258" t="s">
        <v>255</v>
      </c>
      <c r="K258" t="s">
        <v>141</v>
      </c>
      <c r="L258" s="6">
        <v>1</v>
      </c>
      <c r="M258" s="6">
        <f t="shared" si="9"/>
        <v>30</v>
      </c>
      <c r="N258" s="4" t="s">
        <v>51</v>
      </c>
      <c r="O258" s="3">
        <v>0.875</v>
      </c>
      <c r="Q258" t="s">
        <v>29</v>
      </c>
    </row>
    <row r="259" spans="1:17" x14ac:dyDescent="0.3">
      <c r="A259" t="s">
        <v>253</v>
      </c>
      <c r="B259" t="s">
        <v>254</v>
      </c>
      <c r="C259" t="s">
        <v>22</v>
      </c>
      <c r="D259">
        <v>407</v>
      </c>
      <c r="E259" t="s">
        <v>23</v>
      </c>
      <c r="F259" t="s">
        <v>183</v>
      </c>
      <c r="G259" s="2">
        <v>45427</v>
      </c>
      <c r="H259">
        <v>61</v>
      </c>
      <c r="I259" s="2">
        <v>23833</v>
      </c>
      <c r="J259" t="s">
        <v>255</v>
      </c>
      <c r="K259" t="s">
        <v>171</v>
      </c>
      <c r="L259" s="6">
        <v>1</v>
      </c>
      <c r="M259" s="6">
        <f t="shared" si="9"/>
        <v>30</v>
      </c>
      <c r="N259" s="4" t="s">
        <v>51</v>
      </c>
      <c r="O259" s="3">
        <v>0.875</v>
      </c>
      <c r="Q259" t="s">
        <v>29</v>
      </c>
    </row>
    <row r="260" spans="1:17" x14ac:dyDescent="0.3">
      <c r="A260" t="s">
        <v>253</v>
      </c>
      <c r="B260" t="s">
        <v>254</v>
      </c>
      <c r="C260" t="s">
        <v>22</v>
      </c>
      <c r="D260">
        <v>407</v>
      </c>
      <c r="E260" t="s">
        <v>23</v>
      </c>
      <c r="F260" t="s">
        <v>183</v>
      </c>
      <c r="G260" s="2">
        <v>45427</v>
      </c>
      <c r="H260">
        <v>61</v>
      </c>
      <c r="I260" s="2">
        <v>23833</v>
      </c>
      <c r="J260" t="s">
        <v>255</v>
      </c>
      <c r="K260" t="s">
        <v>88</v>
      </c>
      <c r="L260" s="6">
        <v>2</v>
      </c>
      <c r="N260" s="4" t="s">
        <v>51</v>
      </c>
      <c r="P260" t="s">
        <v>264</v>
      </c>
      <c r="Q260" t="s">
        <v>74</v>
      </c>
    </row>
    <row r="261" spans="1:17" x14ac:dyDescent="0.3">
      <c r="A261" t="s">
        <v>265</v>
      </c>
      <c r="B261" t="s">
        <v>266</v>
      </c>
      <c r="C261" t="s">
        <v>22</v>
      </c>
      <c r="D261">
        <v>313</v>
      </c>
      <c r="E261" t="s">
        <v>23</v>
      </c>
      <c r="F261" t="s">
        <v>267</v>
      </c>
      <c r="G261" s="2">
        <v>43633</v>
      </c>
      <c r="H261">
        <v>103</v>
      </c>
      <c r="I261" s="2">
        <v>8520</v>
      </c>
      <c r="J261" t="s">
        <v>268</v>
      </c>
      <c r="K261" t="s">
        <v>88</v>
      </c>
      <c r="L261" s="6">
        <v>1</v>
      </c>
      <c r="M261" s="6">
        <f t="shared" ref="M261:M264" si="10">L261*30</f>
        <v>30</v>
      </c>
      <c r="N261" s="4" t="s">
        <v>269</v>
      </c>
      <c r="O261" s="3">
        <v>0.375</v>
      </c>
      <c r="Q261" t="s">
        <v>29</v>
      </c>
    </row>
    <row r="262" spans="1:17" x14ac:dyDescent="0.3">
      <c r="A262" t="s">
        <v>265</v>
      </c>
      <c r="B262" t="s">
        <v>266</v>
      </c>
      <c r="C262" t="s">
        <v>22</v>
      </c>
      <c r="D262">
        <v>313</v>
      </c>
      <c r="E262" t="s">
        <v>23</v>
      </c>
      <c r="F262" t="s">
        <v>267</v>
      </c>
      <c r="G262" s="2">
        <v>43633</v>
      </c>
      <c r="H262">
        <v>103</v>
      </c>
      <c r="I262" s="2">
        <v>8520</v>
      </c>
      <c r="J262" t="s">
        <v>268</v>
      </c>
      <c r="K262" t="s">
        <v>88</v>
      </c>
      <c r="L262" s="6">
        <v>1</v>
      </c>
      <c r="M262" s="6">
        <f t="shared" si="10"/>
        <v>30</v>
      </c>
      <c r="N262" s="4" t="s">
        <v>51</v>
      </c>
      <c r="O262" s="3">
        <v>0.875</v>
      </c>
      <c r="Q262" t="s">
        <v>29</v>
      </c>
    </row>
    <row r="263" spans="1:17" x14ac:dyDescent="0.3">
      <c r="A263" t="s">
        <v>265</v>
      </c>
      <c r="B263" t="s">
        <v>266</v>
      </c>
      <c r="C263" t="s">
        <v>22</v>
      </c>
      <c r="D263">
        <v>313</v>
      </c>
      <c r="E263" t="s">
        <v>23</v>
      </c>
      <c r="F263" t="s">
        <v>267</v>
      </c>
      <c r="G263" s="2">
        <v>43633</v>
      </c>
      <c r="H263">
        <v>103</v>
      </c>
      <c r="I263" s="2">
        <v>8520</v>
      </c>
      <c r="J263" t="s">
        <v>268</v>
      </c>
      <c r="K263" t="s">
        <v>108</v>
      </c>
      <c r="L263" s="6">
        <v>1</v>
      </c>
      <c r="M263" s="6">
        <f t="shared" si="10"/>
        <v>30</v>
      </c>
      <c r="N263" s="4" t="s">
        <v>51</v>
      </c>
      <c r="O263" s="3">
        <v>0.875</v>
      </c>
      <c r="Q263" t="s">
        <v>29</v>
      </c>
    </row>
    <row r="264" spans="1:17" x14ac:dyDescent="0.3">
      <c r="A264" t="s">
        <v>265</v>
      </c>
      <c r="B264" t="s">
        <v>266</v>
      </c>
      <c r="C264" t="s">
        <v>22</v>
      </c>
      <c r="D264">
        <v>313</v>
      </c>
      <c r="E264" t="s">
        <v>23</v>
      </c>
      <c r="F264" t="s">
        <v>267</v>
      </c>
      <c r="G264" s="2">
        <v>43633</v>
      </c>
      <c r="H264">
        <v>103</v>
      </c>
      <c r="I264" s="2">
        <v>8520</v>
      </c>
      <c r="J264" t="s">
        <v>268</v>
      </c>
      <c r="K264" t="s">
        <v>171</v>
      </c>
      <c r="L264" s="6">
        <v>0.5</v>
      </c>
      <c r="M264" s="6">
        <f t="shared" si="10"/>
        <v>15</v>
      </c>
      <c r="N264" s="4" t="s">
        <v>51</v>
      </c>
      <c r="O264" s="3">
        <v>0.875</v>
      </c>
      <c r="Q264" t="s">
        <v>29</v>
      </c>
    </row>
    <row r="265" spans="1:17" x14ac:dyDescent="0.3">
      <c r="A265" t="s">
        <v>265</v>
      </c>
      <c r="B265" t="s">
        <v>266</v>
      </c>
      <c r="C265" t="s">
        <v>22</v>
      </c>
      <c r="D265">
        <v>313</v>
      </c>
      <c r="E265" t="s">
        <v>23</v>
      </c>
      <c r="F265" t="s">
        <v>267</v>
      </c>
      <c r="G265" s="2">
        <v>43633</v>
      </c>
      <c r="H265">
        <v>103</v>
      </c>
      <c r="I265" s="2">
        <v>8520</v>
      </c>
      <c r="J265" t="s">
        <v>268</v>
      </c>
      <c r="K265" t="s">
        <v>270</v>
      </c>
      <c r="L265" s="6">
        <v>1</v>
      </c>
      <c r="N265" s="4" t="s">
        <v>51</v>
      </c>
      <c r="P265" t="s">
        <v>271</v>
      </c>
      <c r="Q265" t="s">
        <v>74</v>
      </c>
    </row>
    <row r="266" spans="1:17" x14ac:dyDescent="0.3">
      <c r="A266" t="s">
        <v>272</v>
      </c>
      <c r="B266" t="s">
        <v>273</v>
      </c>
      <c r="C266" t="s">
        <v>22</v>
      </c>
      <c r="D266">
        <v>205</v>
      </c>
      <c r="E266" t="s">
        <v>23</v>
      </c>
      <c r="F266" t="s">
        <v>275</v>
      </c>
      <c r="G266" s="2">
        <v>44981</v>
      </c>
      <c r="H266">
        <v>205</v>
      </c>
      <c r="I266" s="2">
        <v>12655</v>
      </c>
      <c r="J266" t="s">
        <v>274</v>
      </c>
      <c r="K266" t="s">
        <v>100</v>
      </c>
      <c r="L266" s="6">
        <v>1</v>
      </c>
      <c r="M266" s="6">
        <f t="shared" ref="M266:M274" si="11">L266*30</f>
        <v>30</v>
      </c>
      <c r="N266" s="4" t="s">
        <v>53</v>
      </c>
      <c r="O266" s="3">
        <v>0.375</v>
      </c>
      <c r="Q266" t="s">
        <v>29</v>
      </c>
    </row>
    <row r="267" spans="1:17" x14ac:dyDescent="0.3">
      <c r="A267" t="s">
        <v>272</v>
      </c>
      <c r="B267" t="s">
        <v>273</v>
      </c>
      <c r="C267" t="s">
        <v>22</v>
      </c>
      <c r="D267">
        <v>205</v>
      </c>
      <c r="E267" t="s">
        <v>23</v>
      </c>
      <c r="F267" t="s">
        <v>275</v>
      </c>
      <c r="G267" s="2">
        <v>44981</v>
      </c>
      <c r="H267">
        <v>205</v>
      </c>
      <c r="I267" s="2">
        <v>12655</v>
      </c>
      <c r="J267" t="s">
        <v>274</v>
      </c>
      <c r="K267" t="s">
        <v>100</v>
      </c>
      <c r="L267" s="6">
        <v>1</v>
      </c>
      <c r="M267" s="6">
        <f t="shared" si="11"/>
        <v>30</v>
      </c>
      <c r="N267" s="4" t="s">
        <v>53</v>
      </c>
      <c r="O267" s="3">
        <v>0.66666666666666663</v>
      </c>
      <c r="Q267" t="s">
        <v>29</v>
      </c>
    </row>
    <row r="268" spans="1:17" x14ac:dyDescent="0.3">
      <c r="A268" t="s">
        <v>272</v>
      </c>
      <c r="B268" t="s">
        <v>273</v>
      </c>
      <c r="C268" t="s">
        <v>22</v>
      </c>
      <c r="D268">
        <v>205</v>
      </c>
      <c r="E268" t="s">
        <v>23</v>
      </c>
      <c r="F268" t="s">
        <v>275</v>
      </c>
      <c r="G268" s="2">
        <v>44981</v>
      </c>
      <c r="H268">
        <v>205</v>
      </c>
      <c r="I268" s="2">
        <v>12655</v>
      </c>
      <c r="J268" t="s">
        <v>274</v>
      </c>
      <c r="K268" t="s">
        <v>88</v>
      </c>
      <c r="L268" s="6">
        <v>2</v>
      </c>
      <c r="M268" s="6">
        <f t="shared" si="11"/>
        <v>60</v>
      </c>
      <c r="N268" s="4" t="s">
        <v>51</v>
      </c>
      <c r="O268" s="3">
        <v>0.375</v>
      </c>
      <c r="Q268" t="s">
        <v>29</v>
      </c>
    </row>
    <row r="269" spans="1:17" x14ac:dyDescent="0.3">
      <c r="A269" t="s">
        <v>272</v>
      </c>
      <c r="B269" t="s">
        <v>273</v>
      </c>
      <c r="C269" t="s">
        <v>22</v>
      </c>
      <c r="D269">
        <v>205</v>
      </c>
      <c r="E269" t="s">
        <v>23</v>
      </c>
      <c r="F269" t="s">
        <v>275</v>
      </c>
      <c r="G269" s="2">
        <v>44981</v>
      </c>
      <c r="H269">
        <v>205</v>
      </c>
      <c r="I269" s="2">
        <v>12655</v>
      </c>
      <c r="J269" t="s">
        <v>274</v>
      </c>
      <c r="K269" t="s">
        <v>88</v>
      </c>
      <c r="L269" s="6">
        <v>2</v>
      </c>
      <c r="M269" s="6">
        <f t="shared" si="11"/>
        <v>60</v>
      </c>
      <c r="N269" s="4" t="s">
        <v>51</v>
      </c>
      <c r="O269" s="3">
        <v>0.875</v>
      </c>
      <c r="Q269" t="s">
        <v>29</v>
      </c>
    </row>
    <row r="270" spans="1:17" x14ac:dyDescent="0.3">
      <c r="A270" t="s">
        <v>272</v>
      </c>
      <c r="B270" t="s">
        <v>273</v>
      </c>
      <c r="C270" t="s">
        <v>22</v>
      </c>
      <c r="D270">
        <v>205</v>
      </c>
      <c r="E270" t="s">
        <v>23</v>
      </c>
      <c r="F270" t="s">
        <v>275</v>
      </c>
      <c r="G270" s="2">
        <v>44981</v>
      </c>
      <c r="H270">
        <v>205</v>
      </c>
      <c r="I270" s="2">
        <v>12655</v>
      </c>
      <c r="J270" t="s">
        <v>274</v>
      </c>
      <c r="K270" t="s">
        <v>30</v>
      </c>
      <c r="L270" s="6">
        <v>1</v>
      </c>
      <c r="M270" s="6">
        <f t="shared" si="11"/>
        <v>30</v>
      </c>
      <c r="N270" s="4" t="s">
        <v>52</v>
      </c>
      <c r="O270" s="3">
        <v>0.375</v>
      </c>
      <c r="Q270" t="s">
        <v>29</v>
      </c>
    </row>
    <row r="271" spans="1:17" x14ac:dyDescent="0.3">
      <c r="A271" t="s">
        <v>272</v>
      </c>
      <c r="B271" t="s">
        <v>273</v>
      </c>
      <c r="C271" t="s">
        <v>22</v>
      </c>
      <c r="D271">
        <v>205</v>
      </c>
      <c r="E271" t="s">
        <v>23</v>
      </c>
      <c r="F271" t="s">
        <v>275</v>
      </c>
      <c r="G271" s="2">
        <v>44981</v>
      </c>
      <c r="H271">
        <v>205</v>
      </c>
      <c r="I271" s="2">
        <v>12655</v>
      </c>
      <c r="J271" t="s">
        <v>274</v>
      </c>
      <c r="K271" t="s">
        <v>223</v>
      </c>
      <c r="L271" s="6">
        <v>1</v>
      </c>
      <c r="M271" s="6">
        <f t="shared" si="11"/>
        <v>30</v>
      </c>
      <c r="N271" s="4" t="s">
        <v>51</v>
      </c>
      <c r="O271" s="3">
        <v>0.375</v>
      </c>
      <c r="Q271" t="s">
        <v>29</v>
      </c>
    </row>
    <row r="272" spans="1:17" x14ac:dyDescent="0.3">
      <c r="A272" t="s">
        <v>272</v>
      </c>
      <c r="B272" t="s">
        <v>273</v>
      </c>
      <c r="C272" t="s">
        <v>22</v>
      </c>
      <c r="D272">
        <v>205</v>
      </c>
      <c r="E272" t="s">
        <v>23</v>
      </c>
      <c r="F272" t="s">
        <v>275</v>
      </c>
      <c r="G272" s="2">
        <v>44981</v>
      </c>
      <c r="H272">
        <v>205</v>
      </c>
      <c r="I272" s="2">
        <v>12655</v>
      </c>
      <c r="J272" t="s">
        <v>274</v>
      </c>
      <c r="K272" t="s">
        <v>276</v>
      </c>
      <c r="L272" s="6">
        <v>1</v>
      </c>
      <c r="M272" s="6">
        <f t="shared" si="11"/>
        <v>30</v>
      </c>
      <c r="N272" s="4" t="s">
        <v>51</v>
      </c>
      <c r="O272" s="3">
        <v>0.375</v>
      </c>
      <c r="Q272" t="s">
        <v>29</v>
      </c>
    </row>
    <row r="273" spans="1:17" x14ac:dyDescent="0.3">
      <c r="A273" t="s">
        <v>272</v>
      </c>
      <c r="B273" t="s">
        <v>273</v>
      </c>
      <c r="C273" t="s">
        <v>22</v>
      </c>
      <c r="D273">
        <v>205</v>
      </c>
      <c r="E273" t="s">
        <v>23</v>
      </c>
      <c r="F273" t="s">
        <v>275</v>
      </c>
      <c r="G273" s="2">
        <v>44981</v>
      </c>
      <c r="H273">
        <v>205</v>
      </c>
      <c r="I273" s="2">
        <v>12655</v>
      </c>
      <c r="J273" t="s">
        <v>274</v>
      </c>
      <c r="K273" t="s">
        <v>188</v>
      </c>
      <c r="L273" s="6">
        <v>1</v>
      </c>
      <c r="M273" s="6">
        <f t="shared" si="11"/>
        <v>30</v>
      </c>
      <c r="N273" s="4" t="s">
        <v>51</v>
      </c>
      <c r="O273" s="3">
        <v>0.875</v>
      </c>
      <c r="Q273" t="s">
        <v>29</v>
      </c>
    </row>
    <row r="274" spans="1:17" x14ac:dyDescent="0.3">
      <c r="A274" t="s">
        <v>272</v>
      </c>
      <c r="B274" t="s">
        <v>273</v>
      </c>
      <c r="C274" t="s">
        <v>22</v>
      </c>
      <c r="D274">
        <v>205</v>
      </c>
      <c r="E274" t="s">
        <v>23</v>
      </c>
      <c r="F274" t="s">
        <v>275</v>
      </c>
      <c r="G274" s="2">
        <v>44981</v>
      </c>
      <c r="H274">
        <v>205</v>
      </c>
      <c r="I274" s="2">
        <v>12655</v>
      </c>
      <c r="J274" t="s">
        <v>274</v>
      </c>
      <c r="K274" t="s">
        <v>38</v>
      </c>
      <c r="L274" s="6">
        <v>1.5</v>
      </c>
      <c r="M274" s="6">
        <f t="shared" si="11"/>
        <v>45</v>
      </c>
      <c r="N274" s="4" t="s">
        <v>51</v>
      </c>
      <c r="O274" s="3">
        <v>0.875</v>
      </c>
      <c r="Q274" t="s">
        <v>29</v>
      </c>
    </row>
    <row r="275" spans="1:17" x14ac:dyDescent="0.3">
      <c r="A275" t="s">
        <v>272</v>
      </c>
      <c r="B275" t="s">
        <v>273</v>
      </c>
      <c r="C275" t="s">
        <v>22</v>
      </c>
      <c r="D275">
        <v>205</v>
      </c>
      <c r="E275" t="s">
        <v>23</v>
      </c>
      <c r="F275" t="s">
        <v>275</v>
      </c>
      <c r="G275" s="2">
        <v>44981</v>
      </c>
      <c r="H275">
        <v>205</v>
      </c>
      <c r="I275" s="2">
        <v>12655</v>
      </c>
      <c r="J275" t="s">
        <v>274</v>
      </c>
      <c r="K275" t="s">
        <v>88</v>
      </c>
      <c r="L275" s="6">
        <v>1</v>
      </c>
      <c r="N275" s="4" t="s">
        <v>51</v>
      </c>
      <c r="P275" t="s">
        <v>277</v>
      </c>
      <c r="Q275" t="s">
        <v>74</v>
      </c>
    </row>
    <row r="276" spans="1:17" x14ac:dyDescent="0.3">
      <c r="A276" t="s">
        <v>278</v>
      </c>
      <c r="B276" t="s">
        <v>279</v>
      </c>
      <c r="C276" t="s">
        <v>22</v>
      </c>
      <c r="D276">
        <v>107</v>
      </c>
      <c r="E276" t="s">
        <v>23</v>
      </c>
      <c r="F276" t="s">
        <v>280</v>
      </c>
      <c r="G276" s="2">
        <v>44840</v>
      </c>
      <c r="H276">
        <v>86</v>
      </c>
      <c r="I276" s="2">
        <v>14720</v>
      </c>
      <c r="J276" t="s">
        <v>281</v>
      </c>
      <c r="K276" t="s">
        <v>30</v>
      </c>
      <c r="L276" s="6">
        <v>1</v>
      </c>
      <c r="M276" s="6">
        <f t="shared" ref="M276:M295" si="12">L276*30</f>
        <v>30</v>
      </c>
      <c r="N276" s="4" t="s">
        <v>51</v>
      </c>
      <c r="O276" s="3">
        <v>0.29166666666666669</v>
      </c>
      <c r="Q276" t="s">
        <v>29</v>
      </c>
    </row>
    <row r="277" spans="1:17" x14ac:dyDescent="0.3">
      <c r="A277" t="s">
        <v>278</v>
      </c>
      <c r="B277" t="s">
        <v>279</v>
      </c>
      <c r="C277" t="s">
        <v>22</v>
      </c>
      <c r="D277">
        <v>107</v>
      </c>
      <c r="E277" t="s">
        <v>23</v>
      </c>
      <c r="F277" t="s">
        <v>280</v>
      </c>
      <c r="G277" s="2">
        <v>44840</v>
      </c>
      <c r="H277">
        <v>86</v>
      </c>
      <c r="I277" s="2">
        <v>14720</v>
      </c>
      <c r="J277" t="s">
        <v>281</v>
      </c>
      <c r="K277" t="s">
        <v>100</v>
      </c>
      <c r="L277" s="6">
        <v>1</v>
      </c>
      <c r="M277" s="6">
        <f t="shared" si="12"/>
        <v>30</v>
      </c>
      <c r="N277" s="4" t="s">
        <v>152</v>
      </c>
      <c r="O277" s="3">
        <v>0.375</v>
      </c>
      <c r="P277" t="s">
        <v>282</v>
      </c>
      <c r="Q277" t="s">
        <v>29</v>
      </c>
    </row>
    <row r="278" spans="1:17" x14ac:dyDescent="0.3">
      <c r="A278" t="s">
        <v>278</v>
      </c>
      <c r="B278" t="s">
        <v>279</v>
      </c>
      <c r="C278" t="s">
        <v>22</v>
      </c>
      <c r="D278">
        <v>107</v>
      </c>
      <c r="E278" t="s">
        <v>23</v>
      </c>
      <c r="F278" t="s">
        <v>280</v>
      </c>
      <c r="G278" s="2">
        <v>44840</v>
      </c>
      <c r="H278">
        <v>86</v>
      </c>
      <c r="I278" s="2">
        <v>14720</v>
      </c>
      <c r="J278" t="s">
        <v>281</v>
      </c>
      <c r="K278" t="s">
        <v>100</v>
      </c>
      <c r="L278" s="6">
        <v>1</v>
      </c>
      <c r="M278" s="6">
        <f t="shared" si="12"/>
        <v>30</v>
      </c>
      <c r="N278" s="4" t="s">
        <v>152</v>
      </c>
      <c r="O278" s="3">
        <v>0.66666666666666663</v>
      </c>
      <c r="P278" t="s">
        <v>282</v>
      </c>
      <c r="Q278" t="s">
        <v>29</v>
      </c>
    </row>
    <row r="279" spans="1:17" x14ac:dyDescent="0.3">
      <c r="A279" t="s">
        <v>278</v>
      </c>
      <c r="B279" t="s">
        <v>279</v>
      </c>
      <c r="C279" t="s">
        <v>22</v>
      </c>
      <c r="D279">
        <v>107</v>
      </c>
      <c r="E279" t="s">
        <v>23</v>
      </c>
      <c r="F279" t="s">
        <v>280</v>
      </c>
      <c r="G279" s="2">
        <v>44840</v>
      </c>
      <c r="H279">
        <v>86</v>
      </c>
      <c r="I279" s="2">
        <v>14720</v>
      </c>
      <c r="J279" t="s">
        <v>281</v>
      </c>
      <c r="K279" t="s">
        <v>283</v>
      </c>
      <c r="L279" s="6">
        <v>0.5</v>
      </c>
      <c r="M279" s="6">
        <f t="shared" si="12"/>
        <v>15</v>
      </c>
      <c r="N279" s="4" t="s">
        <v>51</v>
      </c>
      <c r="O279" s="3">
        <v>0.375</v>
      </c>
      <c r="Q279" t="s">
        <v>29</v>
      </c>
    </row>
    <row r="280" spans="1:17" x14ac:dyDescent="0.3">
      <c r="A280" t="s">
        <v>278</v>
      </c>
      <c r="B280" t="s">
        <v>279</v>
      </c>
      <c r="C280" t="s">
        <v>22</v>
      </c>
      <c r="D280">
        <v>107</v>
      </c>
      <c r="E280" t="s">
        <v>23</v>
      </c>
      <c r="F280" t="s">
        <v>280</v>
      </c>
      <c r="G280" s="2">
        <v>44840</v>
      </c>
      <c r="H280">
        <v>86</v>
      </c>
      <c r="I280" s="2">
        <v>14720</v>
      </c>
      <c r="J280" t="s">
        <v>281</v>
      </c>
      <c r="K280" t="s">
        <v>284</v>
      </c>
      <c r="L280" s="6">
        <v>0.5</v>
      </c>
      <c r="M280" s="6">
        <f t="shared" si="12"/>
        <v>15</v>
      </c>
      <c r="N280" s="4" t="s">
        <v>51</v>
      </c>
      <c r="O280" s="3">
        <v>0.375</v>
      </c>
      <c r="Q280" t="s">
        <v>29</v>
      </c>
    </row>
    <row r="281" spans="1:17" x14ac:dyDescent="0.3">
      <c r="A281" t="s">
        <v>278</v>
      </c>
      <c r="B281" t="s">
        <v>279</v>
      </c>
      <c r="C281" t="s">
        <v>22</v>
      </c>
      <c r="D281">
        <v>107</v>
      </c>
      <c r="E281" t="s">
        <v>23</v>
      </c>
      <c r="F281" t="s">
        <v>280</v>
      </c>
      <c r="G281" s="2">
        <v>44840</v>
      </c>
      <c r="H281">
        <v>86</v>
      </c>
      <c r="I281" s="2">
        <v>14720</v>
      </c>
      <c r="J281" t="s">
        <v>281</v>
      </c>
      <c r="K281" t="s">
        <v>285</v>
      </c>
      <c r="L281" s="6">
        <v>1</v>
      </c>
      <c r="M281" s="6">
        <f t="shared" si="12"/>
        <v>30</v>
      </c>
      <c r="N281" s="4" t="s">
        <v>51</v>
      </c>
      <c r="O281" s="3">
        <v>0.375</v>
      </c>
      <c r="P281" t="s">
        <v>289</v>
      </c>
      <c r="Q281" t="s">
        <v>29</v>
      </c>
    </row>
    <row r="282" spans="1:17" x14ac:dyDescent="0.3">
      <c r="A282" t="s">
        <v>278</v>
      </c>
      <c r="B282" t="s">
        <v>279</v>
      </c>
      <c r="C282" t="s">
        <v>22</v>
      </c>
      <c r="D282">
        <v>107</v>
      </c>
      <c r="E282" t="s">
        <v>23</v>
      </c>
      <c r="F282" t="s">
        <v>280</v>
      </c>
      <c r="G282" s="2">
        <v>44840</v>
      </c>
      <c r="H282">
        <v>86</v>
      </c>
      <c r="I282" s="2">
        <v>14720</v>
      </c>
      <c r="J282" t="s">
        <v>281</v>
      </c>
      <c r="K282" t="s">
        <v>286</v>
      </c>
      <c r="L282" s="6">
        <v>1</v>
      </c>
      <c r="M282" s="6">
        <f t="shared" si="12"/>
        <v>30</v>
      </c>
      <c r="N282" s="4" t="s">
        <v>51</v>
      </c>
      <c r="O282" s="3">
        <v>0.375</v>
      </c>
      <c r="Q282" t="s">
        <v>29</v>
      </c>
    </row>
    <row r="283" spans="1:17" x14ac:dyDescent="0.3">
      <c r="A283" t="s">
        <v>278</v>
      </c>
      <c r="B283" t="s">
        <v>279</v>
      </c>
      <c r="C283" t="s">
        <v>22</v>
      </c>
      <c r="D283">
        <v>107</v>
      </c>
      <c r="E283" t="s">
        <v>23</v>
      </c>
      <c r="F283" t="s">
        <v>280</v>
      </c>
      <c r="G283" s="2">
        <v>44840</v>
      </c>
      <c r="H283">
        <v>86</v>
      </c>
      <c r="I283" s="2">
        <v>14720</v>
      </c>
      <c r="J283" t="s">
        <v>281</v>
      </c>
      <c r="K283" t="s">
        <v>287</v>
      </c>
      <c r="L283" s="6">
        <v>0.5</v>
      </c>
      <c r="M283" s="6">
        <f t="shared" si="12"/>
        <v>15</v>
      </c>
      <c r="N283" s="4" t="s">
        <v>51</v>
      </c>
      <c r="O283" s="3">
        <v>0.54166666666666663</v>
      </c>
      <c r="Q283" t="s">
        <v>29</v>
      </c>
    </row>
    <row r="284" spans="1:17" x14ac:dyDescent="0.3">
      <c r="A284" t="s">
        <v>278</v>
      </c>
      <c r="B284" t="s">
        <v>279</v>
      </c>
      <c r="C284" t="s">
        <v>22</v>
      </c>
      <c r="D284">
        <v>107</v>
      </c>
      <c r="E284" t="s">
        <v>23</v>
      </c>
      <c r="F284" t="s">
        <v>280</v>
      </c>
      <c r="G284" s="2">
        <v>44840</v>
      </c>
      <c r="H284">
        <v>86</v>
      </c>
      <c r="I284" s="2">
        <v>14720</v>
      </c>
      <c r="J284" t="s">
        <v>281</v>
      </c>
      <c r="K284" t="s">
        <v>288</v>
      </c>
      <c r="L284" s="6">
        <v>1</v>
      </c>
      <c r="M284" s="6">
        <f t="shared" si="12"/>
        <v>30</v>
      </c>
      <c r="N284" s="4" t="s">
        <v>51</v>
      </c>
      <c r="O284" s="3">
        <v>0.875</v>
      </c>
      <c r="Q284" t="s">
        <v>29</v>
      </c>
    </row>
    <row r="285" spans="1:17" x14ac:dyDescent="0.3">
      <c r="A285" t="s">
        <v>290</v>
      </c>
      <c r="B285" t="s">
        <v>291</v>
      </c>
      <c r="C285" t="s">
        <v>292</v>
      </c>
      <c r="D285">
        <v>302</v>
      </c>
      <c r="E285" t="s">
        <v>23</v>
      </c>
      <c r="F285" t="s">
        <v>293</v>
      </c>
      <c r="G285" s="2">
        <v>44749</v>
      </c>
      <c r="H285">
        <v>83</v>
      </c>
      <c r="I285" s="2">
        <v>15708</v>
      </c>
      <c r="J285" t="s">
        <v>294</v>
      </c>
      <c r="K285" t="s">
        <v>295</v>
      </c>
      <c r="L285" s="6">
        <v>0.5</v>
      </c>
      <c r="M285" s="6">
        <f t="shared" si="12"/>
        <v>15</v>
      </c>
      <c r="N285" s="4" t="s">
        <v>51</v>
      </c>
      <c r="O285" s="3">
        <v>0.29166666666666669</v>
      </c>
      <c r="Q285" t="s">
        <v>29</v>
      </c>
    </row>
    <row r="286" spans="1:17" x14ac:dyDescent="0.3">
      <c r="A286" t="s">
        <v>290</v>
      </c>
      <c r="B286" t="s">
        <v>291</v>
      </c>
      <c r="C286" t="s">
        <v>292</v>
      </c>
      <c r="D286">
        <v>302</v>
      </c>
      <c r="E286" t="s">
        <v>23</v>
      </c>
      <c r="F286" t="s">
        <v>293</v>
      </c>
      <c r="G286" s="2">
        <v>44749</v>
      </c>
      <c r="H286">
        <v>83</v>
      </c>
      <c r="I286" s="2">
        <v>15708</v>
      </c>
      <c r="J286" t="s">
        <v>294</v>
      </c>
      <c r="K286" t="s">
        <v>295</v>
      </c>
      <c r="L286" s="6">
        <v>0.5</v>
      </c>
      <c r="M286" s="6">
        <f t="shared" si="12"/>
        <v>15</v>
      </c>
      <c r="N286" s="4" t="s">
        <v>51</v>
      </c>
      <c r="O286" s="3">
        <v>0.625</v>
      </c>
      <c r="Q286" t="s">
        <v>29</v>
      </c>
    </row>
    <row r="287" spans="1:17" x14ac:dyDescent="0.3">
      <c r="A287" t="s">
        <v>290</v>
      </c>
      <c r="B287" t="s">
        <v>291</v>
      </c>
      <c r="C287" t="s">
        <v>292</v>
      </c>
      <c r="D287">
        <v>302</v>
      </c>
      <c r="E287" t="s">
        <v>23</v>
      </c>
      <c r="F287" t="s">
        <v>293</v>
      </c>
      <c r="G287" s="2">
        <v>44749</v>
      </c>
      <c r="H287">
        <v>83</v>
      </c>
      <c r="I287" s="2">
        <v>15708</v>
      </c>
      <c r="J287" t="s">
        <v>294</v>
      </c>
      <c r="K287" t="s">
        <v>295</v>
      </c>
      <c r="L287" s="6">
        <v>0.5</v>
      </c>
      <c r="M287" s="6">
        <f t="shared" si="12"/>
        <v>15</v>
      </c>
      <c r="N287" s="4" t="s">
        <v>51</v>
      </c>
      <c r="O287" s="3">
        <v>0.875</v>
      </c>
      <c r="Q287" t="s">
        <v>29</v>
      </c>
    </row>
    <row r="288" spans="1:17" x14ac:dyDescent="0.3">
      <c r="A288" t="s">
        <v>290</v>
      </c>
      <c r="B288" t="s">
        <v>291</v>
      </c>
      <c r="C288" t="s">
        <v>292</v>
      </c>
      <c r="D288">
        <v>302</v>
      </c>
      <c r="E288" t="s">
        <v>23</v>
      </c>
      <c r="F288" t="s">
        <v>293</v>
      </c>
      <c r="G288" s="2">
        <v>44749</v>
      </c>
      <c r="H288">
        <v>83</v>
      </c>
      <c r="I288" s="2">
        <v>15708</v>
      </c>
      <c r="J288" t="s">
        <v>294</v>
      </c>
      <c r="K288" t="s">
        <v>134</v>
      </c>
      <c r="L288" s="6">
        <v>0.5</v>
      </c>
      <c r="M288" s="6">
        <f t="shared" si="12"/>
        <v>15</v>
      </c>
      <c r="N288" s="4" t="s">
        <v>51</v>
      </c>
      <c r="O288" s="3">
        <v>0.375</v>
      </c>
      <c r="Q288" t="s">
        <v>29</v>
      </c>
    </row>
    <row r="289" spans="1:17" x14ac:dyDescent="0.3">
      <c r="A289" t="s">
        <v>290</v>
      </c>
      <c r="B289" t="s">
        <v>291</v>
      </c>
      <c r="C289" t="s">
        <v>292</v>
      </c>
      <c r="D289">
        <v>302</v>
      </c>
      <c r="E289" t="s">
        <v>23</v>
      </c>
      <c r="F289" t="s">
        <v>293</v>
      </c>
      <c r="G289" s="2">
        <v>44749</v>
      </c>
      <c r="H289">
        <v>83</v>
      </c>
      <c r="I289" s="2">
        <v>15708</v>
      </c>
      <c r="J289" t="s">
        <v>294</v>
      </c>
      <c r="K289" t="s">
        <v>134</v>
      </c>
      <c r="L289" s="6">
        <v>0.5</v>
      </c>
      <c r="M289" s="6">
        <f t="shared" si="12"/>
        <v>15</v>
      </c>
      <c r="N289" s="4" t="s">
        <v>51</v>
      </c>
      <c r="O289" s="3">
        <v>0.875</v>
      </c>
      <c r="Q289" t="s">
        <v>29</v>
      </c>
    </row>
    <row r="290" spans="1:17" x14ac:dyDescent="0.3">
      <c r="A290" t="s">
        <v>290</v>
      </c>
      <c r="B290" t="s">
        <v>291</v>
      </c>
      <c r="C290" t="s">
        <v>292</v>
      </c>
      <c r="D290">
        <v>302</v>
      </c>
      <c r="E290" t="s">
        <v>23</v>
      </c>
      <c r="F290" t="s">
        <v>293</v>
      </c>
      <c r="G290" s="2">
        <v>44749</v>
      </c>
      <c r="H290">
        <v>83</v>
      </c>
      <c r="I290" s="2">
        <v>15708</v>
      </c>
      <c r="J290" t="s">
        <v>294</v>
      </c>
      <c r="K290" t="s">
        <v>108</v>
      </c>
      <c r="L290" s="6">
        <v>1</v>
      </c>
      <c r="M290" s="6">
        <f t="shared" si="12"/>
        <v>30</v>
      </c>
      <c r="N290" s="4" t="s">
        <v>51</v>
      </c>
      <c r="O290" s="3">
        <v>0.375</v>
      </c>
      <c r="Q290" t="s">
        <v>29</v>
      </c>
    </row>
    <row r="291" spans="1:17" x14ac:dyDescent="0.3">
      <c r="A291" t="s">
        <v>290</v>
      </c>
      <c r="B291" t="s">
        <v>291</v>
      </c>
      <c r="C291" t="s">
        <v>292</v>
      </c>
      <c r="D291">
        <v>302</v>
      </c>
      <c r="E291" t="s">
        <v>23</v>
      </c>
      <c r="F291" t="s">
        <v>293</v>
      </c>
      <c r="G291" s="2">
        <v>44749</v>
      </c>
      <c r="H291">
        <v>83</v>
      </c>
      <c r="I291" s="2">
        <v>15708</v>
      </c>
      <c r="J291" t="s">
        <v>294</v>
      </c>
      <c r="K291" t="s">
        <v>38</v>
      </c>
      <c r="L291" s="6">
        <v>0.25</v>
      </c>
      <c r="M291" s="6">
        <f t="shared" si="12"/>
        <v>7.5</v>
      </c>
      <c r="N291" s="4" t="s">
        <v>51</v>
      </c>
      <c r="O291" s="3">
        <v>0.375</v>
      </c>
      <c r="Q291" t="s">
        <v>29</v>
      </c>
    </row>
    <row r="292" spans="1:17" x14ac:dyDescent="0.3">
      <c r="A292" t="s">
        <v>290</v>
      </c>
      <c r="B292" t="s">
        <v>291</v>
      </c>
      <c r="C292" t="s">
        <v>292</v>
      </c>
      <c r="D292">
        <v>302</v>
      </c>
      <c r="E292" t="s">
        <v>23</v>
      </c>
      <c r="F292" t="s">
        <v>293</v>
      </c>
      <c r="G292" s="2">
        <v>44749</v>
      </c>
      <c r="H292">
        <v>83</v>
      </c>
      <c r="I292" s="2">
        <v>15708</v>
      </c>
      <c r="J292" t="s">
        <v>294</v>
      </c>
      <c r="K292" t="s">
        <v>296</v>
      </c>
      <c r="L292" s="6">
        <v>1</v>
      </c>
      <c r="M292" s="6">
        <f t="shared" si="12"/>
        <v>30</v>
      </c>
      <c r="N292" s="4" t="s">
        <v>51</v>
      </c>
      <c r="O292" s="3">
        <v>0.375</v>
      </c>
      <c r="Q292" t="s">
        <v>29</v>
      </c>
    </row>
    <row r="293" spans="1:17" x14ac:dyDescent="0.3">
      <c r="A293" t="s">
        <v>290</v>
      </c>
      <c r="B293" t="s">
        <v>291</v>
      </c>
      <c r="C293" t="s">
        <v>292</v>
      </c>
      <c r="D293">
        <v>302</v>
      </c>
      <c r="E293" t="s">
        <v>23</v>
      </c>
      <c r="F293" t="s">
        <v>293</v>
      </c>
      <c r="G293" s="2">
        <v>44749</v>
      </c>
      <c r="H293">
        <v>83</v>
      </c>
      <c r="I293" s="2">
        <v>15708</v>
      </c>
      <c r="J293" t="s">
        <v>294</v>
      </c>
      <c r="K293" t="s">
        <v>188</v>
      </c>
      <c r="L293" s="6">
        <v>3</v>
      </c>
      <c r="M293" s="6">
        <f t="shared" si="12"/>
        <v>90</v>
      </c>
      <c r="N293" s="4" t="s">
        <v>51</v>
      </c>
      <c r="O293" s="3">
        <v>0.79166666666666663</v>
      </c>
      <c r="Q293" t="s">
        <v>29</v>
      </c>
    </row>
    <row r="294" spans="1:17" x14ac:dyDescent="0.3">
      <c r="A294" t="s">
        <v>290</v>
      </c>
      <c r="B294" t="s">
        <v>291</v>
      </c>
      <c r="C294" t="s">
        <v>292</v>
      </c>
      <c r="D294">
        <v>302</v>
      </c>
      <c r="E294" t="s">
        <v>23</v>
      </c>
      <c r="F294" t="s">
        <v>293</v>
      </c>
      <c r="G294" s="2">
        <v>44749</v>
      </c>
      <c r="H294">
        <v>83</v>
      </c>
      <c r="I294" s="2">
        <v>15708</v>
      </c>
      <c r="J294" t="s">
        <v>294</v>
      </c>
      <c r="K294" t="s">
        <v>70</v>
      </c>
      <c r="L294" s="6">
        <v>0.5</v>
      </c>
      <c r="M294" s="6">
        <f t="shared" si="12"/>
        <v>15</v>
      </c>
      <c r="N294" s="4" t="s">
        <v>51</v>
      </c>
      <c r="O294" s="3">
        <v>0.875</v>
      </c>
      <c r="Q294" t="s">
        <v>29</v>
      </c>
    </row>
    <row r="295" spans="1:17" x14ac:dyDescent="0.3">
      <c r="A295" t="s">
        <v>290</v>
      </c>
      <c r="B295" t="s">
        <v>291</v>
      </c>
      <c r="C295" t="s">
        <v>292</v>
      </c>
      <c r="D295">
        <v>302</v>
      </c>
      <c r="E295" t="s">
        <v>23</v>
      </c>
      <c r="F295" t="s">
        <v>293</v>
      </c>
      <c r="G295" s="2">
        <v>44749</v>
      </c>
      <c r="H295">
        <v>83</v>
      </c>
      <c r="I295" s="2">
        <v>15708</v>
      </c>
      <c r="J295" t="s">
        <v>294</v>
      </c>
      <c r="K295" t="s">
        <v>38</v>
      </c>
      <c r="L295" s="6">
        <v>1.5</v>
      </c>
      <c r="M295" s="6">
        <f t="shared" si="12"/>
        <v>45</v>
      </c>
      <c r="N295" s="4" t="s">
        <v>51</v>
      </c>
      <c r="O295" s="3">
        <v>0.875</v>
      </c>
      <c r="Q295" t="s">
        <v>29</v>
      </c>
    </row>
    <row r="296" spans="1:17" x14ac:dyDescent="0.3">
      <c r="A296" t="s">
        <v>290</v>
      </c>
      <c r="B296" t="s">
        <v>291</v>
      </c>
      <c r="C296" t="s">
        <v>292</v>
      </c>
      <c r="D296">
        <v>302</v>
      </c>
      <c r="E296" t="s">
        <v>23</v>
      </c>
      <c r="F296" t="s">
        <v>293</v>
      </c>
      <c r="G296" s="2">
        <v>44749</v>
      </c>
      <c r="H296">
        <v>83</v>
      </c>
      <c r="I296" s="2">
        <v>15708</v>
      </c>
      <c r="J296" t="s">
        <v>294</v>
      </c>
      <c r="K296" t="s">
        <v>38</v>
      </c>
      <c r="L296" s="6">
        <v>1</v>
      </c>
      <c r="N296" s="4" t="s">
        <v>51</v>
      </c>
      <c r="P296" t="s">
        <v>297</v>
      </c>
      <c r="Q296" t="s">
        <v>74</v>
      </c>
    </row>
    <row r="297" spans="1:17" x14ac:dyDescent="0.3">
      <c r="A297" t="s">
        <v>298</v>
      </c>
      <c r="B297" t="s">
        <v>299</v>
      </c>
      <c r="C297" t="s">
        <v>22</v>
      </c>
      <c r="D297">
        <v>315</v>
      </c>
      <c r="E297" t="s">
        <v>23</v>
      </c>
      <c r="F297" t="s">
        <v>300</v>
      </c>
      <c r="G297" s="2">
        <v>45490</v>
      </c>
      <c r="H297">
        <v>93</v>
      </c>
      <c r="I297" s="2">
        <v>11915</v>
      </c>
      <c r="J297" t="s">
        <v>301</v>
      </c>
      <c r="K297" t="s">
        <v>30</v>
      </c>
      <c r="L297" s="6">
        <v>1</v>
      </c>
      <c r="M297" s="6">
        <f t="shared" ref="M297:M309" si="13">L297*30</f>
        <v>30</v>
      </c>
      <c r="N297" s="4" t="s">
        <v>52</v>
      </c>
      <c r="O297" s="3">
        <v>0.29166666666666669</v>
      </c>
      <c r="Q297" t="s">
        <v>29</v>
      </c>
    </row>
    <row r="298" spans="1:17" x14ac:dyDescent="0.3">
      <c r="A298" t="s">
        <v>298</v>
      </c>
      <c r="B298" t="s">
        <v>299</v>
      </c>
      <c r="C298" t="s">
        <v>22</v>
      </c>
      <c r="D298">
        <v>315</v>
      </c>
      <c r="E298" t="s">
        <v>23</v>
      </c>
      <c r="F298" t="s">
        <v>300</v>
      </c>
      <c r="G298" s="2">
        <v>45490</v>
      </c>
      <c r="H298">
        <v>93</v>
      </c>
      <c r="I298" s="2">
        <v>11915</v>
      </c>
      <c r="J298" t="s">
        <v>301</v>
      </c>
      <c r="K298" t="s">
        <v>88</v>
      </c>
      <c r="L298" s="6">
        <v>2</v>
      </c>
      <c r="M298" s="6">
        <f t="shared" si="13"/>
        <v>60</v>
      </c>
      <c r="N298" s="4" t="s">
        <v>51</v>
      </c>
      <c r="O298" s="3">
        <v>0.375</v>
      </c>
      <c r="Q298" t="s">
        <v>29</v>
      </c>
    </row>
    <row r="299" spans="1:17" x14ac:dyDescent="0.3">
      <c r="A299" t="s">
        <v>298</v>
      </c>
      <c r="B299" t="s">
        <v>299</v>
      </c>
      <c r="C299" t="s">
        <v>22</v>
      </c>
      <c r="D299">
        <v>315</v>
      </c>
      <c r="E299" t="s">
        <v>23</v>
      </c>
      <c r="F299" t="s">
        <v>300</v>
      </c>
      <c r="G299" s="2">
        <v>45490</v>
      </c>
      <c r="H299">
        <v>93</v>
      </c>
      <c r="I299" s="2">
        <v>11915</v>
      </c>
      <c r="J299" t="s">
        <v>301</v>
      </c>
      <c r="K299" t="s">
        <v>88</v>
      </c>
      <c r="L299" s="6">
        <v>2</v>
      </c>
      <c r="M299" s="6">
        <f t="shared" si="13"/>
        <v>60</v>
      </c>
      <c r="N299" s="4" t="s">
        <v>51</v>
      </c>
      <c r="O299" s="3">
        <v>0.625</v>
      </c>
      <c r="Q299" t="s">
        <v>29</v>
      </c>
    </row>
    <row r="300" spans="1:17" x14ac:dyDescent="0.3">
      <c r="A300" t="s">
        <v>298</v>
      </c>
      <c r="B300" t="s">
        <v>299</v>
      </c>
      <c r="C300" t="s">
        <v>22</v>
      </c>
      <c r="D300">
        <v>315</v>
      </c>
      <c r="E300" t="s">
        <v>23</v>
      </c>
      <c r="F300" t="s">
        <v>300</v>
      </c>
      <c r="G300" s="2">
        <v>45490</v>
      </c>
      <c r="H300">
        <v>93</v>
      </c>
      <c r="I300" s="2">
        <v>11915</v>
      </c>
      <c r="J300" t="s">
        <v>301</v>
      </c>
      <c r="K300" t="s">
        <v>88</v>
      </c>
      <c r="L300" s="6">
        <v>2</v>
      </c>
      <c r="M300" s="6">
        <f t="shared" si="13"/>
        <v>60</v>
      </c>
      <c r="N300" s="4" t="s">
        <v>51</v>
      </c>
      <c r="O300" s="3">
        <v>0.875</v>
      </c>
      <c r="Q300" t="s">
        <v>29</v>
      </c>
    </row>
    <row r="301" spans="1:17" x14ac:dyDescent="0.3">
      <c r="A301" t="s">
        <v>298</v>
      </c>
      <c r="B301" t="s">
        <v>299</v>
      </c>
      <c r="C301" t="s">
        <v>22</v>
      </c>
      <c r="D301">
        <v>315</v>
      </c>
      <c r="E301" t="s">
        <v>23</v>
      </c>
      <c r="F301" t="s">
        <v>300</v>
      </c>
      <c r="G301" s="2">
        <v>45490</v>
      </c>
      <c r="H301">
        <v>93</v>
      </c>
      <c r="I301" s="2">
        <v>11915</v>
      </c>
      <c r="J301" t="s">
        <v>301</v>
      </c>
      <c r="K301" t="s">
        <v>303</v>
      </c>
      <c r="L301" s="6">
        <v>1</v>
      </c>
      <c r="M301" s="6">
        <f t="shared" si="13"/>
        <v>30</v>
      </c>
      <c r="N301" s="4" t="s">
        <v>51</v>
      </c>
      <c r="O301" s="3">
        <v>0.375</v>
      </c>
      <c r="P301" t="s">
        <v>302</v>
      </c>
      <c r="Q301" t="s">
        <v>29</v>
      </c>
    </row>
    <row r="302" spans="1:17" x14ac:dyDescent="0.3">
      <c r="A302" t="s">
        <v>298</v>
      </c>
      <c r="B302" t="s">
        <v>299</v>
      </c>
      <c r="C302" t="s">
        <v>22</v>
      </c>
      <c r="D302">
        <v>315</v>
      </c>
      <c r="E302" t="s">
        <v>23</v>
      </c>
      <c r="F302" t="s">
        <v>300</v>
      </c>
      <c r="G302" s="2">
        <v>45490</v>
      </c>
      <c r="H302">
        <v>93</v>
      </c>
      <c r="I302" s="2">
        <v>11915</v>
      </c>
      <c r="J302" t="s">
        <v>301</v>
      </c>
      <c r="K302" t="s">
        <v>303</v>
      </c>
      <c r="L302" s="6">
        <v>1</v>
      </c>
      <c r="M302" s="6">
        <f t="shared" si="13"/>
        <v>30</v>
      </c>
      <c r="N302" s="4" t="s">
        <v>51</v>
      </c>
      <c r="O302" s="3">
        <v>0.875</v>
      </c>
      <c r="P302" t="s">
        <v>302</v>
      </c>
      <c r="Q302" t="s">
        <v>29</v>
      </c>
    </row>
    <row r="303" spans="1:17" x14ac:dyDescent="0.3">
      <c r="A303" t="s">
        <v>298</v>
      </c>
      <c r="B303" t="s">
        <v>299</v>
      </c>
      <c r="C303" t="s">
        <v>22</v>
      </c>
      <c r="D303">
        <v>315</v>
      </c>
      <c r="E303" t="s">
        <v>23</v>
      </c>
      <c r="F303" t="s">
        <v>300</v>
      </c>
      <c r="G303" s="2">
        <v>45490</v>
      </c>
      <c r="H303">
        <v>93</v>
      </c>
      <c r="I303" s="2">
        <v>11915</v>
      </c>
      <c r="J303" t="s">
        <v>301</v>
      </c>
      <c r="K303" t="s">
        <v>304</v>
      </c>
      <c r="L303" s="6">
        <v>1</v>
      </c>
      <c r="M303" s="6">
        <f t="shared" si="13"/>
        <v>30</v>
      </c>
      <c r="N303" s="4" t="s">
        <v>51</v>
      </c>
      <c r="O303" s="3">
        <v>0.375</v>
      </c>
      <c r="Q303" t="s">
        <v>29</v>
      </c>
    </row>
    <row r="304" spans="1:17" x14ac:dyDescent="0.3">
      <c r="A304" t="s">
        <v>298</v>
      </c>
      <c r="B304" t="s">
        <v>299</v>
      </c>
      <c r="C304" t="s">
        <v>22</v>
      </c>
      <c r="D304">
        <v>315</v>
      </c>
      <c r="E304" t="s">
        <v>23</v>
      </c>
      <c r="F304" t="s">
        <v>300</v>
      </c>
      <c r="G304" s="2">
        <v>45490</v>
      </c>
      <c r="H304">
        <v>93</v>
      </c>
      <c r="I304" s="2">
        <v>11915</v>
      </c>
      <c r="J304" t="s">
        <v>301</v>
      </c>
      <c r="K304" t="s">
        <v>86</v>
      </c>
      <c r="L304" s="6">
        <v>1</v>
      </c>
      <c r="M304" s="6">
        <f t="shared" si="13"/>
        <v>30</v>
      </c>
      <c r="N304" s="4" t="s">
        <v>56</v>
      </c>
      <c r="O304" s="3">
        <v>0.375</v>
      </c>
      <c r="Q304" t="s">
        <v>29</v>
      </c>
    </row>
    <row r="305" spans="1:19" x14ac:dyDescent="0.3">
      <c r="A305" t="s">
        <v>298</v>
      </c>
      <c r="B305" t="s">
        <v>299</v>
      </c>
      <c r="C305" t="s">
        <v>22</v>
      </c>
      <c r="D305">
        <v>315</v>
      </c>
      <c r="E305" t="s">
        <v>23</v>
      </c>
      <c r="F305" t="s">
        <v>300</v>
      </c>
      <c r="G305" s="2">
        <v>45490</v>
      </c>
      <c r="H305">
        <v>93</v>
      </c>
      <c r="I305" s="2">
        <v>11915</v>
      </c>
      <c r="J305" t="s">
        <v>301</v>
      </c>
      <c r="K305" t="s">
        <v>100</v>
      </c>
      <c r="L305" s="6">
        <v>1</v>
      </c>
      <c r="M305" s="6">
        <f t="shared" si="13"/>
        <v>30</v>
      </c>
      <c r="N305" s="4" t="s">
        <v>152</v>
      </c>
      <c r="O305" s="3">
        <v>0.375</v>
      </c>
      <c r="Q305" t="s">
        <v>29</v>
      </c>
    </row>
    <row r="306" spans="1:19" x14ac:dyDescent="0.3">
      <c r="A306" t="s">
        <v>298</v>
      </c>
      <c r="B306" t="s">
        <v>299</v>
      </c>
      <c r="C306" t="s">
        <v>22</v>
      </c>
      <c r="D306">
        <v>315</v>
      </c>
      <c r="E306" t="s">
        <v>23</v>
      </c>
      <c r="F306" t="s">
        <v>300</v>
      </c>
      <c r="G306" s="2">
        <v>45490</v>
      </c>
      <c r="H306">
        <v>93</v>
      </c>
      <c r="I306" s="2">
        <v>11915</v>
      </c>
      <c r="J306" t="s">
        <v>301</v>
      </c>
      <c r="K306" t="s">
        <v>258</v>
      </c>
      <c r="L306" s="6">
        <v>1</v>
      </c>
      <c r="M306" s="6">
        <f t="shared" si="13"/>
        <v>30</v>
      </c>
      <c r="N306" s="4" t="s">
        <v>51</v>
      </c>
      <c r="O306" s="3">
        <v>0.875</v>
      </c>
      <c r="Q306" t="s">
        <v>29</v>
      </c>
    </row>
    <row r="307" spans="1:19" x14ac:dyDescent="0.3">
      <c r="A307" t="s">
        <v>298</v>
      </c>
      <c r="B307" t="s">
        <v>299</v>
      </c>
      <c r="C307" t="s">
        <v>22</v>
      </c>
      <c r="D307">
        <v>315</v>
      </c>
      <c r="E307" t="s">
        <v>23</v>
      </c>
      <c r="F307" t="s">
        <v>300</v>
      </c>
      <c r="G307" s="2">
        <v>45490</v>
      </c>
      <c r="H307">
        <v>93</v>
      </c>
      <c r="I307" s="2">
        <v>11915</v>
      </c>
      <c r="J307" t="s">
        <v>301</v>
      </c>
      <c r="K307" t="s">
        <v>188</v>
      </c>
      <c r="L307" s="6">
        <v>2</v>
      </c>
      <c r="M307" s="6">
        <f t="shared" si="13"/>
        <v>60</v>
      </c>
      <c r="N307" s="4" t="s">
        <v>51</v>
      </c>
      <c r="O307" s="3">
        <v>0.875</v>
      </c>
      <c r="Q307" t="s">
        <v>29</v>
      </c>
    </row>
    <row r="308" spans="1:19" x14ac:dyDescent="0.3">
      <c r="A308" t="s">
        <v>298</v>
      </c>
      <c r="B308" t="s">
        <v>299</v>
      </c>
      <c r="C308" t="s">
        <v>22</v>
      </c>
      <c r="D308">
        <v>315</v>
      </c>
      <c r="E308" t="s">
        <v>23</v>
      </c>
      <c r="F308" t="s">
        <v>300</v>
      </c>
      <c r="G308" s="2">
        <v>45490</v>
      </c>
      <c r="H308">
        <v>93</v>
      </c>
      <c r="I308" s="2">
        <v>11915</v>
      </c>
      <c r="J308" t="s">
        <v>301</v>
      </c>
      <c r="K308" t="s">
        <v>85</v>
      </c>
      <c r="L308" s="6">
        <v>1</v>
      </c>
      <c r="M308" s="6">
        <f t="shared" si="13"/>
        <v>30</v>
      </c>
      <c r="N308" s="4" t="s">
        <v>51</v>
      </c>
      <c r="O308" s="3">
        <v>0.875</v>
      </c>
      <c r="Q308" t="s">
        <v>29</v>
      </c>
    </row>
    <row r="309" spans="1:19" x14ac:dyDescent="0.3">
      <c r="A309" t="s">
        <v>298</v>
      </c>
      <c r="B309" t="s">
        <v>299</v>
      </c>
      <c r="C309" t="s">
        <v>22</v>
      </c>
      <c r="D309">
        <v>315</v>
      </c>
      <c r="E309" t="s">
        <v>23</v>
      </c>
      <c r="F309" t="s">
        <v>300</v>
      </c>
      <c r="G309" s="2">
        <v>45490</v>
      </c>
      <c r="H309">
        <v>93</v>
      </c>
      <c r="I309" s="2">
        <v>11915</v>
      </c>
      <c r="J309" t="s">
        <v>301</v>
      </c>
      <c r="K309" t="s">
        <v>38</v>
      </c>
      <c r="L309" s="6">
        <v>2</v>
      </c>
      <c r="M309" s="6">
        <f t="shared" si="13"/>
        <v>60</v>
      </c>
      <c r="N309" s="4" t="s">
        <v>51</v>
      </c>
      <c r="O309" s="3">
        <v>0.875</v>
      </c>
      <c r="Q309" t="s">
        <v>29</v>
      </c>
    </row>
    <row r="310" spans="1:19" x14ac:dyDescent="0.3">
      <c r="A310" t="s">
        <v>298</v>
      </c>
      <c r="B310" t="s">
        <v>299</v>
      </c>
      <c r="C310" t="s">
        <v>22</v>
      </c>
      <c r="D310">
        <v>315</v>
      </c>
      <c r="E310" t="s">
        <v>23</v>
      </c>
      <c r="F310" t="s">
        <v>300</v>
      </c>
      <c r="G310" s="2">
        <v>45490</v>
      </c>
      <c r="H310">
        <v>93</v>
      </c>
      <c r="I310" s="2">
        <v>11915</v>
      </c>
      <c r="J310" t="s">
        <v>301</v>
      </c>
      <c r="K310" t="s">
        <v>305</v>
      </c>
      <c r="L310" s="6">
        <v>1</v>
      </c>
      <c r="N310" s="4" t="s">
        <v>81</v>
      </c>
      <c r="O310" s="3">
        <v>0.375</v>
      </c>
      <c r="P310" t="s">
        <v>306</v>
      </c>
      <c r="Q310" t="s">
        <v>40</v>
      </c>
      <c r="R310" s="2">
        <v>46120</v>
      </c>
      <c r="S310" s="2">
        <v>46209</v>
      </c>
    </row>
    <row r="311" spans="1:19" x14ac:dyDescent="0.3">
      <c r="A311" t="s">
        <v>298</v>
      </c>
      <c r="B311" t="s">
        <v>299</v>
      </c>
      <c r="C311" t="s">
        <v>22</v>
      </c>
      <c r="D311">
        <v>315</v>
      </c>
      <c r="E311" t="s">
        <v>23</v>
      </c>
      <c r="F311" t="s">
        <v>300</v>
      </c>
      <c r="G311" s="2">
        <v>45490</v>
      </c>
      <c r="H311">
        <v>93</v>
      </c>
      <c r="I311" s="2">
        <v>11915</v>
      </c>
      <c r="J311" t="s">
        <v>301</v>
      </c>
      <c r="K311" t="s">
        <v>134</v>
      </c>
      <c r="L311" s="6">
        <v>0.5</v>
      </c>
      <c r="N311" s="4" t="s">
        <v>51</v>
      </c>
      <c r="O311" s="3">
        <v>0.875</v>
      </c>
      <c r="Q311" t="s">
        <v>40</v>
      </c>
      <c r="R311" s="2">
        <v>46183</v>
      </c>
      <c r="S311" s="2">
        <v>46212</v>
      </c>
    </row>
    <row r="312" spans="1:19" x14ac:dyDescent="0.3">
      <c r="A312" t="s">
        <v>298</v>
      </c>
      <c r="B312" t="s">
        <v>299</v>
      </c>
      <c r="C312" t="s">
        <v>22</v>
      </c>
      <c r="D312">
        <v>315</v>
      </c>
      <c r="E312" t="s">
        <v>23</v>
      </c>
      <c r="F312" t="s">
        <v>300</v>
      </c>
      <c r="G312" s="2">
        <v>45490</v>
      </c>
      <c r="H312">
        <v>93</v>
      </c>
      <c r="I312" s="2">
        <v>11915</v>
      </c>
      <c r="J312" t="s">
        <v>301</v>
      </c>
      <c r="K312" t="s">
        <v>307</v>
      </c>
      <c r="L312" s="6">
        <v>1</v>
      </c>
      <c r="N312" s="4" t="s">
        <v>52</v>
      </c>
      <c r="O312" s="3">
        <v>0.29166666666666669</v>
      </c>
      <c r="Q312" t="s">
        <v>74</v>
      </c>
    </row>
    <row r="313" spans="1:19" x14ac:dyDescent="0.3">
      <c r="A313" t="s">
        <v>298</v>
      </c>
      <c r="B313" t="s">
        <v>299</v>
      </c>
      <c r="C313" t="s">
        <v>22</v>
      </c>
      <c r="D313">
        <v>315</v>
      </c>
      <c r="E313" t="s">
        <v>23</v>
      </c>
      <c r="F313" t="s">
        <v>300</v>
      </c>
      <c r="G313" s="2">
        <v>45490</v>
      </c>
      <c r="H313">
        <v>93</v>
      </c>
      <c r="I313" s="2">
        <v>11915</v>
      </c>
      <c r="J313" t="s">
        <v>301</v>
      </c>
      <c r="K313" t="s">
        <v>307</v>
      </c>
      <c r="L313" s="6">
        <v>1</v>
      </c>
      <c r="N313" s="4" t="s">
        <v>52</v>
      </c>
      <c r="O313" s="3">
        <v>0.625</v>
      </c>
      <c r="Q313" t="s">
        <v>74</v>
      </c>
    </row>
    <row r="314" spans="1:19" x14ac:dyDescent="0.3">
      <c r="A314" t="s">
        <v>298</v>
      </c>
      <c r="B314" t="s">
        <v>299</v>
      </c>
      <c r="C314" t="s">
        <v>22</v>
      </c>
      <c r="D314">
        <v>315</v>
      </c>
      <c r="E314" t="s">
        <v>23</v>
      </c>
      <c r="F314" t="s">
        <v>300</v>
      </c>
      <c r="G314" s="2">
        <v>45490</v>
      </c>
      <c r="H314">
        <v>93</v>
      </c>
      <c r="I314" s="2">
        <v>11915</v>
      </c>
      <c r="J314" t="s">
        <v>301</v>
      </c>
      <c r="K314" t="s">
        <v>307</v>
      </c>
      <c r="L314" s="6">
        <v>1</v>
      </c>
      <c r="N314" s="4" t="s">
        <v>52</v>
      </c>
      <c r="O314" s="3">
        <v>0.875</v>
      </c>
      <c r="Q314" t="s">
        <v>74</v>
      </c>
    </row>
    <row r="315" spans="1:19" x14ac:dyDescent="0.3">
      <c r="A315" t="s">
        <v>298</v>
      </c>
      <c r="B315" t="s">
        <v>299</v>
      </c>
      <c r="C315" t="s">
        <v>22</v>
      </c>
      <c r="D315">
        <v>315</v>
      </c>
      <c r="E315" t="s">
        <v>23</v>
      </c>
      <c r="F315" t="s">
        <v>300</v>
      </c>
      <c r="G315" s="2">
        <v>45490</v>
      </c>
      <c r="H315">
        <v>93</v>
      </c>
      <c r="I315" s="2">
        <v>11915</v>
      </c>
      <c r="J315" t="s">
        <v>301</v>
      </c>
      <c r="K315" t="s">
        <v>308</v>
      </c>
      <c r="L315" s="6">
        <v>40</v>
      </c>
      <c r="N315" s="4" t="s">
        <v>56</v>
      </c>
      <c r="O315" s="3">
        <v>0.29166666666666669</v>
      </c>
      <c r="Q315" t="s">
        <v>74</v>
      </c>
    </row>
    <row r="316" spans="1:19" x14ac:dyDescent="0.3">
      <c r="A316" t="s">
        <v>298</v>
      </c>
      <c r="B316" t="s">
        <v>299</v>
      </c>
      <c r="C316" t="s">
        <v>22</v>
      </c>
      <c r="D316">
        <v>315</v>
      </c>
      <c r="E316" t="s">
        <v>23</v>
      </c>
      <c r="F316" t="s">
        <v>300</v>
      </c>
      <c r="G316" s="2">
        <v>45490</v>
      </c>
      <c r="H316">
        <v>93</v>
      </c>
      <c r="I316" s="2">
        <v>11915</v>
      </c>
      <c r="J316" t="s">
        <v>301</v>
      </c>
      <c r="K316" t="s">
        <v>308</v>
      </c>
      <c r="L316" s="6">
        <v>40</v>
      </c>
      <c r="N316" s="4" t="s">
        <v>56</v>
      </c>
      <c r="O316" s="3">
        <v>0.625</v>
      </c>
      <c r="Q316" t="s">
        <v>74</v>
      </c>
    </row>
    <row r="317" spans="1:19" x14ac:dyDescent="0.3">
      <c r="A317" t="s">
        <v>298</v>
      </c>
      <c r="B317" t="s">
        <v>299</v>
      </c>
      <c r="C317" t="s">
        <v>22</v>
      </c>
      <c r="D317">
        <v>315</v>
      </c>
      <c r="E317" t="s">
        <v>23</v>
      </c>
      <c r="F317" t="s">
        <v>300</v>
      </c>
      <c r="G317" s="2">
        <v>45490</v>
      </c>
      <c r="H317">
        <v>93</v>
      </c>
      <c r="I317" s="2">
        <v>11915</v>
      </c>
      <c r="J317" t="s">
        <v>301</v>
      </c>
      <c r="K317" t="s">
        <v>308</v>
      </c>
      <c r="L317" s="6">
        <v>40</v>
      </c>
      <c r="N317" s="4" t="s">
        <v>56</v>
      </c>
      <c r="O317" s="3">
        <v>0.875</v>
      </c>
      <c r="Q317" t="s">
        <v>74</v>
      </c>
    </row>
    <row r="318" spans="1:19" x14ac:dyDescent="0.3">
      <c r="A318" t="s">
        <v>298</v>
      </c>
      <c r="B318" t="s">
        <v>299</v>
      </c>
      <c r="C318" t="s">
        <v>22</v>
      </c>
      <c r="D318">
        <v>315</v>
      </c>
      <c r="E318" t="s">
        <v>23</v>
      </c>
      <c r="F318" t="s">
        <v>300</v>
      </c>
      <c r="G318" s="2">
        <v>45490</v>
      </c>
      <c r="H318">
        <v>93</v>
      </c>
      <c r="I318" s="2">
        <v>11915</v>
      </c>
      <c r="J318" t="s">
        <v>301</v>
      </c>
      <c r="K318" t="s">
        <v>309</v>
      </c>
      <c r="L318" s="6">
        <v>1</v>
      </c>
      <c r="N318" s="4" t="s">
        <v>51</v>
      </c>
      <c r="P318" t="s">
        <v>311</v>
      </c>
      <c r="Q318" t="s">
        <v>74</v>
      </c>
    </row>
    <row r="319" spans="1:19" x14ac:dyDescent="0.3">
      <c r="A319" t="s">
        <v>298</v>
      </c>
      <c r="B319" t="s">
        <v>299</v>
      </c>
      <c r="C319" t="s">
        <v>22</v>
      </c>
      <c r="D319">
        <v>315</v>
      </c>
      <c r="E319" t="s">
        <v>23</v>
      </c>
      <c r="F319" t="s">
        <v>300</v>
      </c>
      <c r="G319" s="2">
        <v>45490</v>
      </c>
      <c r="H319">
        <v>93</v>
      </c>
      <c r="I319" s="2">
        <v>11915</v>
      </c>
      <c r="J319" t="s">
        <v>301</v>
      </c>
      <c r="K319" t="s">
        <v>101</v>
      </c>
      <c r="L319" s="6">
        <v>1</v>
      </c>
      <c r="N319" s="4" t="s">
        <v>81</v>
      </c>
      <c r="P319" t="s">
        <v>310</v>
      </c>
      <c r="Q319" t="s">
        <v>74</v>
      </c>
    </row>
    <row r="320" spans="1:19" x14ac:dyDescent="0.3">
      <c r="A320" t="s">
        <v>312</v>
      </c>
      <c r="B320" t="s">
        <v>313</v>
      </c>
      <c r="C320" t="s">
        <v>22</v>
      </c>
      <c r="D320">
        <v>202</v>
      </c>
      <c r="E320" t="s">
        <v>23</v>
      </c>
      <c r="F320" t="s">
        <v>314</v>
      </c>
      <c r="G320" s="2">
        <v>45173</v>
      </c>
      <c r="H320">
        <v>72</v>
      </c>
      <c r="I320" s="2">
        <v>19635</v>
      </c>
      <c r="J320" t="s">
        <v>315</v>
      </c>
      <c r="K320" t="s">
        <v>316</v>
      </c>
      <c r="L320" s="6">
        <v>2</v>
      </c>
      <c r="M320" s="6">
        <f t="shared" ref="M320:M327" si="14">L320*30</f>
        <v>60</v>
      </c>
      <c r="N320" s="4" t="s">
        <v>317</v>
      </c>
      <c r="O320" s="3">
        <v>0.375</v>
      </c>
      <c r="Q320" t="s">
        <v>29</v>
      </c>
    </row>
    <row r="321" spans="1:17" x14ac:dyDescent="0.3">
      <c r="A321" t="s">
        <v>312</v>
      </c>
      <c r="B321" t="s">
        <v>313</v>
      </c>
      <c r="C321" t="s">
        <v>22</v>
      </c>
      <c r="D321">
        <v>202</v>
      </c>
      <c r="E321" t="s">
        <v>23</v>
      </c>
      <c r="F321" t="s">
        <v>314</v>
      </c>
      <c r="G321" s="2">
        <v>45173</v>
      </c>
      <c r="H321">
        <v>72</v>
      </c>
      <c r="I321" s="2">
        <v>19635</v>
      </c>
      <c r="J321" t="s">
        <v>315</v>
      </c>
      <c r="K321" t="s">
        <v>318</v>
      </c>
      <c r="L321" s="6">
        <v>2</v>
      </c>
      <c r="M321" s="6">
        <f t="shared" si="14"/>
        <v>60</v>
      </c>
      <c r="N321" s="4" t="s">
        <v>317</v>
      </c>
      <c r="O321" s="3">
        <v>0.875</v>
      </c>
      <c r="Q321" t="s">
        <v>29</v>
      </c>
    </row>
    <row r="322" spans="1:17" x14ac:dyDescent="0.3">
      <c r="A322" t="s">
        <v>312</v>
      </c>
      <c r="B322" t="s">
        <v>313</v>
      </c>
      <c r="C322" t="s">
        <v>22</v>
      </c>
      <c r="D322">
        <v>202</v>
      </c>
      <c r="E322" t="s">
        <v>23</v>
      </c>
      <c r="F322" t="s">
        <v>314</v>
      </c>
      <c r="G322" s="2">
        <v>45173</v>
      </c>
      <c r="H322">
        <v>72</v>
      </c>
      <c r="I322" s="2">
        <v>19635</v>
      </c>
      <c r="J322" t="s">
        <v>315</v>
      </c>
      <c r="K322" t="s">
        <v>99</v>
      </c>
      <c r="L322" s="6">
        <v>1</v>
      </c>
      <c r="M322" s="6">
        <f t="shared" si="14"/>
        <v>30</v>
      </c>
      <c r="N322" s="4" t="s">
        <v>269</v>
      </c>
      <c r="O322" s="3">
        <v>0.375</v>
      </c>
      <c r="Q322" t="s">
        <v>29</v>
      </c>
    </row>
    <row r="323" spans="1:17" x14ac:dyDescent="0.3">
      <c r="A323" t="s">
        <v>312</v>
      </c>
      <c r="B323" t="s">
        <v>313</v>
      </c>
      <c r="C323" t="s">
        <v>22</v>
      </c>
      <c r="D323">
        <v>202</v>
      </c>
      <c r="E323" t="s">
        <v>23</v>
      </c>
      <c r="F323" t="s">
        <v>314</v>
      </c>
      <c r="G323" s="2">
        <v>45173</v>
      </c>
      <c r="H323">
        <v>72</v>
      </c>
      <c r="I323" s="2">
        <v>19635</v>
      </c>
      <c r="J323" t="s">
        <v>315</v>
      </c>
      <c r="K323" t="s">
        <v>30</v>
      </c>
      <c r="L323" s="6">
        <v>1</v>
      </c>
      <c r="M323" s="6">
        <f t="shared" si="14"/>
        <v>30</v>
      </c>
      <c r="N323" s="4" t="s">
        <v>51</v>
      </c>
      <c r="O323" s="3">
        <v>0.375</v>
      </c>
      <c r="Q323" t="s">
        <v>29</v>
      </c>
    </row>
    <row r="324" spans="1:17" x14ac:dyDescent="0.3">
      <c r="A324" t="s">
        <v>312</v>
      </c>
      <c r="B324" t="s">
        <v>313</v>
      </c>
      <c r="C324" t="s">
        <v>22</v>
      </c>
      <c r="D324">
        <v>202</v>
      </c>
      <c r="E324" t="s">
        <v>23</v>
      </c>
      <c r="F324" t="s">
        <v>314</v>
      </c>
      <c r="G324" s="2">
        <v>45173</v>
      </c>
      <c r="H324">
        <v>72</v>
      </c>
      <c r="I324" s="2">
        <v>19635</v>
      </c>
      <c r="J324" t="s">
        <v>315</v>
      </c>
      <c r="K324" t="s">
        <v>223</v>
      </c>
      <c r="L324" s="6">
        <v>0.5</v>
      </c>
      <c r="M324" s="6">
        <f t="shared" si="14"/>
        <v>15</v>
      </c>
      <c r="N324" s="4" t="s">
        <v>51</v>
      </c>
      <c r="O324" s="3">
        <v>0.375</v>
      </c>
      <c r="Q324" t="s">
        <v>29</v>
      </c>
    </row>
    <row r="325" spans="1:17" x14ac:dyDescent="0.3">
      <c r="A325" t="s">
        <v>312</v>
      </c>
      <c r="B325" t="s">
        <v>313</v>
      </c>
      <c r="C325" t="s">
        <v>22</v>
      </c>
      <c r="D325">
        <v>202</v>
      </c>
      <c r="E325" t="s">
        <v>23</v>
      </c>
      <c r="F325" t="s">
        <v>314</v>
      </c>
      <c r="G325" s="2">
        <v>45173</v>
      </c>
      <c r="H325">
        <v>72</v>
      </c>
      <c r="I325" s="2">
        <v>19635</v>
      </c>
      <c r="J325" t="s">
        <v>315</v>
      </c>
      <c r="K325" t="s">
        <v>137</v>
      </c>
      <c r="L325" s="6">
        <v>1</v>
      </c>
      <c r="M325" s="6">
        <f t="shared" si="14"/>
        <v>30</v>
      </c>
      <c r="N325" s="4" t="s">
        <v>51</v>
      </c>
      <c r="O325" s="3">
        <v>0.5</v>
      </c>
      <c r="Q325" t="s">
        <v>29</v>
      </c>
    </row>
    <row r="326" spans="1:17" x14ac:dyDescent="0.3">
      <c r="A326" t="s">
        <v>312</v>
      </c>
      <c r="B326" t="s">
        <v>313</v>
      </c>
      <c r="C326" t="s">
        <v>22</v>
      </c>
      <c r="D326">
        <v>202</v>
      </c>
      <c r="E326" t="s">
        <v>23</v>
      </c>
      <c r="F326" t="s">
        <v>314</v>
      </c>
      <c r="G326" s="2">
        <v>45173</v>
      </c>
      <c r="H326">
        <v>72</v>
      </c>
      <c r="I326" s="2">
        <v>19635</v>
      </c>
      <c r="J326" t="s">
        <v>315</v>
      </c>
      <c r="K326" t="s">
        <v>141</v>
      </c>
      <c r="L326" s="6">
        <v>1</v>
      </c>
      <c r="M326" s="6">
        <f t="shared" si="14"/>
        <v>30</v>
      </c>
      <c r="N326" s="4" t="s">
        <v>51</v>
      </c>
      <c r="O326" s="3">
        <v>0.875</v>
      </c>
      <c r="Q326" t="s">
        <v>29</v>
      </c>
    </row>
    <row r="327" spans="1:17" x14ac:dyDescent="0.3">
      <c r="A327" t="s">
        <v>312</v>
      </c>
      <c r="B327" t="s">
        <v>313</v>
      </c>
      <c r="C327" t="s">
        <v>22</v>
      </c>
      <c r="D327">
        <v>202</v>
      </c>
      <c r="E327" t="s">
        <v>23</v>
      </c>
      <c r="F327" t="s">
        <v>314</v>
      </c>
      <c r="G327" s="2">
        <v>45173</v>
      </c>
      <c r="H327">
        <v>72</v>
      </c>
      <c r="I327" s="2">
        <v>19635</v>
      </c>
      <c r="J327" t="s">
        <v>315</v>
      </c>
      <c r="K327" t="s">
        <v>99</v>
      </c>
      <c r="L327" s="6">
        <v>0.5</v>
      </c>
      <c r="M327" s="6">
        <f t="shared" si="14"/>
        <v>15</v>
      </c>
      <c r="N327" s="4" t="s">
        <v>51</v>
      </c>
      <c r="O327" s="3">
        <v>0.875</v>
      </c>
      <c r="Q327" t="s">
        <v>29</v>
      </c>
    </row>
    <row r="328" spans="1:17" x14ac:dyDescent="0.3">
      <c r="A328" t="s">
        <v>312</v>
      </c>
      <c r="B328" t="s">
        <v>313</v>
      </c>
      <c r="C328" t="s">
        <v>22</v>
      </c>
      <c r="D328">
        <v>202</v>
      </c>
      <c r="E328" t="s">
        <v>23</v>
      </c>
      <c r="F328" t="s">
        <v>314</v>
      </c>
      <c r="G328" s="2">
        <v>45173</v>
      </c>
      <c r="H328">
        <v>72</v>
      </c>
      <c r="I328" s="2">
        <v>19635</v>
      </c>
      <c r="J328" t="s">
        <v>315</v>
      </c>
      <c r="K328" t="s">
        <v>319</v>
      </c>
      <c r="L328" s="6">
        <v>2</v>
      </c>
      <c r="N328" s="4" t="s">
        <v>317</v>
      </c>
      <c r="P328" t="s">
        <v>320</v>
      </c>
      <c r="Q328" t="s">
        <v>74</v>
      </c>
    </row>
    <row r="329" spans="1:17" x14ac:dyDescent="0.3">
      <c r="A329" t="s">
        <v>321</v>
      </c>
      <c r="B329" t="s">
        <v>322</v>
      </c>
      <c r="C329" t="s">
        <v>22</v>
      </c>
      <c r="D329">
        <v>215</v>
      </c>
      <c r="E329" t="s">
        <v>23</v>
      </c>
      <c r="F329" t="s">
        <v>323</v>
      </c>
      <c r="G329" s="2">
        <v>45909</v>
      </c>
      <c r="H329">
        <v>53</v>
      </c>
      <c r="I329" s="2">
        <v>26472</v>
      </c>
      <c r="J329" t="s">
        <v>324</v>
      </c>
      <c r="K329" t="s">
        <v>256</v>
      </c>
      <c r="L329" s="6">
        <v>1</v>
      </c>
      <c r="M329" s="6">
        <f t="shared" ref="M329:M334" si="15">L329*30</f>
        <v>30</v>
      </c>
      <c r="N329" s="4" t="s">
        <v>51</v>
      </c>
      <c r="O329" s="3">
        <v>0.375</v>
      </c>
      <c r="Q329" t="s">
        <v>29</v>
      </c>
    </row>
    <row r="330" spans="1:17" x14ac:dyDescent="0.3">
      <c r="A330" t="s">
        <v>321</v>
      </c>
      <c r="B330" t="s">
        <v>322</v>
      </c>
      <c r="C330" t="s">
        <v>22</v>
      </c>
      <c r="D330">
        <v>215</v>
      </c>
      <c r="E330" t="s">
        <v>23</v>
      </c>
      <c r="F330" t="s">
        <v>323</v>
      </c>
      <c r="G330" s="2">
        <v>45909</v>
      </c>
      <c r="H330">
        <v>53</v>
      </c>
      <c r="I330" s="2">
        <v>26472</v>
      </c>
      <c r="J330" t="s">
        <v>324</v>
      </c>
      <c r="K330" t="s">
        <v>256</v>
      </c>
      <c r="L330" s="6">
        <v>1</v>
      </c>
      <c r="M330" s="6">
        <f t="shared" si="15"/>
        <v>30</v>
      </c>
      <c r="N330" s="4" t="s">
        <v>51</v>
      </c>
      <c r="O330" s="3">
        <v>0.875</v>
      </c>
      <c r="Q330" t="s">
        <v>29</v>
      </c>
    </row>
    <row r="331" spans="1:17" x14ac:dyDescent="0.3">
      <c r="A331" t="s">
        <v>321</v>
      </c>
      <c r="B331" t="s">
        <v>322</v>
      </c>
      <c r="C331" t="s">
        <v>22</v>
      </c>
      <c r="D331">
        <v>215</v>
      </c>
      <c r="E331" t="s">
        <v>23</v>
      </c>
      <c r="F331" t="s">
        <v>323</v>
      </c>
      <c r="G331" s="2">
        <v>45909</v>
      </c>
      <c r="H331">
        <v>53</v>
      </c>
      <c r="I331" s="2">
        <v>26472</v>
      </c>
      <c r="J331" t="s">
        <v>324</v>
      </c>
      <c r="K331" t="s">
        <v>325</v>
      </c>
      <c r="L331" s="6">
        <v>1</v>
      </c>
      <c r="M331" s="6">
        <f t="shared" si="15"/>
        <v>30</v>
      </c>
      <c r="N331" s="4" t="s">
        <v>51</v>
      </c>
      <c r="O331" s="3">
        <v>0.875</v>
      </c>
      <c r="Q331" t="s">
        <v>29</v>
      </c>
    </row>
    <row r="332" spans="1:17" x14ac:dyDescent="0.3">
      <c r="A332" t="s">
        <v>321</v>
      </c>
      <c r="B332" t="s">
        <v>322</v>
      </c>
      <c r="C332" t="s">
        <v>22</v>
      </c>
      <c r="D332">
        <v>215</v>
      </c>
      <c r="E332" t="s">
        <v>23</v>
      </c>
      <c r="F332" t="s">
        <v>323</v>
      </c>
      <c r="G332" s="2">
        <v>45909</v>
      </c>
      <c r="H332">
        <v>53</v>
      </c>
      <c r="I332" s="2">
        <v>26472</v>
      </c>
      <c r="J332" t="s">
        <v>324</v>
      </c>
      <c r="K332" t="s">
        <v>188</v>
      </c>
      <c r="L332" s="6">
        <v>2</v>
      </c>
      <c r="M332" s="6">
        <f t="shared" si="15"/>
        <v>60</v>
      </c>
      <c r="N332" s="4" t="s">
        <v>51</v>
      </c>
      <c r="O332" s="3">
        <v>0.875</v>
      </c>
      <c r="Q332" t="s">
        <v>29</v>
      </c>
    </row>
    <row r="333" spans="1:17" x14ac:dyDescent="0.3">
      <c r="A333" t="s">
        <v>321</v>
      </c>
      <c r="B333" t="s">
        <v>322</v>
      </c>
      <c r="C333" t="s">
        <v>22</v>
      </c>
      <c r="D333">
        <v>215</v>
      </c>
      <c r="E333" t="s">
        <v>23</v>
      </c>
      <c r="F333" t="s">
        <v>323</v>
      </c>
      <c r="G333" s="2">
        <v>45909</v>
      </c>
      <c r="H333">
        <v>53</v>
      </c>
      <c r="I333" s="2">
        <v>26472</v>
      </c>
      <c r="J333" t="s">
        <v>324</v>
      </c>
      <c r="K333" t="s">
        <v>72</v>
      </c>
      <c r="L333" s="6">
        <v>11</v>
      </c>
      <c r="M333" s="6">
        <f t="shared" si="15"/>
        <v>330</v>
      </c>
      <c r="N333" s="4" t="s">
        <v>56</v>
      </c>
      <c r="O333" s="3">
        <v>0.875</v>
      </c>
      <c r="Q333" t="s">
        <v>29</v>
      </c>
    </row>
    <row r="334" spans="1:17" x14ac:dyDescent="0.3">
      <c r="A334" t="s">
        <v>321</v>
      </c>
      <c r="B334" t="s">
        <v>322</v>
      </c>
      <c r="C334" t="s">
        <v>22</v>
      </c>
      <c r="D334">
        <v>215</v>
      </c>
      <c r="E334" t="s">
        <v>23</v>
      </c>
      <c r="F334" t="s">
        <v>323</v>
      </c>
      <c r="G334" s="2">
        <v>45909</v>
      </c>
      <c r="H334">
        <v>53</v>
      </c>
      <c r="I334" s="2">
        <v>26472</v>
      </c>
      <c r="J334" t="s">
        <v>324</v>
      </c>
      <c r="K334" t="s">
        <v>104</v>
      </c>
      <c r="L334" s="6">
        <v>2</v>
      </c>
      <c r="M334" s="6">
        <f t="shared" si="15"/>
        <v>60</v>
      </c>
      <c r="N334" s="4" t="s">
        <v>51</v>
      </c>
      <c r="O334" s="3">
        <v>0.875</v>
      </c>
      <c r="Q334" t="s">
        <v>29</v>
      </c>
    </row>
    <row r="335" spans="1:17" x14ac:dyDescent="0.3">
      <c r="A335" t="s">
        <v>321</v>
      </c>
      <c r="B335" t="s">
        <v>322</v>
      </c>
      <c r="C335" t="s">
        <v>22</v>
      </c>
      <c r="D335">
        <v>215</v>
      </c>
      <c r="E335" t="s">
        <v>23</v>
      </c>
      <c r="F335" t="s">
        <v>323</v>
      </c>
      <c r="G335" s="2">
        <v>45909</v>
      </c>
      <c r="H335">
        <v>53</v>
      </c>
      <c r="I335" s="2">
        <v>26472</v>
      </c>
      <c r="J335" t="s">
        <v>324</v>
      </c>
      <c r="K335" t="s">
        <v>72</v>
      </c>
      <c r="L335" s="6">
        <v>11</v>
      </c>
      <c r="N335" s="4" t="s">
        <v>56</v>
      </c>
      <c r="O335" s="3"/>
      <c r="P335" t="s">
        <v>326</v>
      </c>
      <c r="Q335" t="s">
        <v>74</v>
      </c>
    </row>
    <row r="336" spans="1:17" x14ac:dyDescent="0.3">
      <c r="A336" t="s">
        <v>328</v>
      </c>
      <c r="B336" t="s">
        <v>329</v>
      </c>
      <c r="C336" t="s">
        <v>22</v>
      </c>
      <c r="D336">
        <v>316</v>
      </c>
      <c r="E336" t="s">
        <v>176</v>
      </c>
      <c r="F336" t="s">
        <v>330</v>
      </c>
      <c r="G336" s="2">
        <v>45176</v>
      </c>
      <c r="H336">
        <v>95</v>
      </c>
      <c r="I336" s="2">
        <v>11235</v>
      </c>
      <c r="J336" t="s">
        <v>331</v>
      </c>
      <c r="K336" t="s">
        <v>332</v>
      </c>
      <c r="L336" s="6">
        <v>1</v>
      </c>
      <c r="M336" s="6">
        <f t="shared" ref="M336:M342" si="16">L336*30</f>
        <v>30</v>
      </c>
      <c r="N336" s="4" t="s">
        <v>51</v>
      </c>
      <c r="O336" s="3">
        <v>0.29166666666666669</v>
      </c>
      <c r="Q336" t="s">
        <v>29</v>
      </c>
    </row>
    <row r="337" spans="1:19" x14ac:dyDescent="0.3">
      <c r="A337" t="s">
        <v>328</v>
      </c>
      <c r="B337" t="s">
        <v>329</v>
      </c>
      <c r="C337" t="s">
        <v>22</v>
      </c>
      <c r="D337">
        <v>316</v>
      </c>
      <c r="E337" t="s">
        <v>176</v>
      </c>
      <c r="F337" t="s">
        <v>330</v>
      </c>
      <c r="G337" s="2">
        <v>45176</v>
      </c>
      <c r="H337">
        <v>95</v>
      </c>
      <c r="I337" s="2">
        <v>11235</v>
      </c>
      <c r="J337" t="s">
        <v>331</v>
      </c>
      <c r="K337" t="s">
        <v>136</v>
      </c>
      <c r="L337" s="6">
        <v>1</v>
      </c>
      <c r="M337" s="6">
        <f t="shared" si="16"/>
        <v>30</v>
      </c>
      <c r="N337" s="4" t="s">
        <v>51</v>
      </c>
      <c r="O337" s="3">
        <v>0.375</v>
      </c>
      <c r="Q337" t="s">
        <v>29</v>
      </c>
    </row>
    <row r="338" spans="1:19" x14ac:dyDescent="0.3">
      <c r="A338" t="s">
        <v>328</v>
      </c>
      <c r="B338" t="s">
        <v>329</v>
      </c>
      <c r="C338" t="s">
        <v>22</v>
      </c>
      <c r="D338">
        <v>316</v>
      </c>
      <c r="E338" t="s">
        <v>176</v>
      </c>
      <c r="F338" t="s">
        <v>330</v>
      </c>
      <c r="G338" s="2">
        <v>45176</v>
      </c>
      <c r="H338">
        <v>95</v>
      </c>
      <c r="I338" s="2">
        <v>11235</v>
      </c>
      <c r="J338" t="s">
        <v>331</v>
      </c>
      <c r="K338" t="s">
        <v>333</v>
      </c>
      <c r="L338" s="6">
        <v>1</v>
      </c>
      <c r="M338" s="6">
        <f t="shared" si="16"/>
        <v>30</v>
      </c>
      <c r="N338" s="4" t="s">
        <v>51</v>
      </c>
      <c r="O338" s="3">
        <v>0.375</v>
      </c>
      <c r="Q338" t="s">
        <v>29</v>
      </c>
    </row>
    <row r="339" spans="1:19" x14ac:dyDescent="0.3">
      <c r="A339" t="s">
        <v>328</v>
      </c>
      <c r="B339" t="s">
        <v>329</v>
      </c>
      <c r="C339" t="s">
        <v>22</v>
      </c>
      <c r="D339">
        <v>316</v>
      </c>
      <c r="E339" t="s">
        <v>176</v>
      </c>
      <c r="F339" t="s">
        <v>330</v>
      </c>
      <c r="G339" s="2">
        <v>45176</v>
      </c>
      <c r="H339">
        <v>95</v>
      </c>
      <c r="I339" s="2">
        <v>11235</v>
      </c>
      <c r="J339" t="s">
        <v>331</v>
      </c>
      <c r="K339" t="s">
        <v>334</v>
      </c>
      <c r="L339" s="6">
        <v>1</v>
      </c>
      <c r="M339" s="6">
        <f t="shared" si="16"/>
        <v>30</v>
      </c>
      <c r="N339" s="4" t="s">
        <v>53</v>
      </c>
      <c r="O339" s="3">
        <v>0.375</v>
      </c>
      <c r="Q339" t="s">
        <v>29</v>
      </c>
    </row>
    <row r="340" spans="1:19" x14ac:dyDescent="0.3">
      <c r="A340" t="s">
        <v>328</v>
      </c>
      <c r="B340" t="s">
        <v>329</v>
      </c>
      <c r="C340" t="s">
        <v>22</v>
      </c>
      <c r="D340">
        <v>316</v>
      </c>
      <c r="E340" t="s">
        <v>176</v>
      </c>
      <c r="F340" t="s">
        <v>330</v>
      </c>
      <c r="G340" s="2">
        <v>45176</v>
      </c>
      <c r="H340">
        <v>95</v>
      </c>
      <c r="I340" s="2">
        <v>11235</v>
      </c>
      <c r="J340" t="s">
        <v>331</v>
      </c>
      <c r="K340" t="s">
        <v>101</v>
      </c>
      <c r="L340" s="6">
        <v>1</v>
      </c>
      <c r="M340" s="6">
        <f t="shared" si="16"/>
        <v>30</v>
      </c>
      <c r="N340" s="4" t="s">
        <v>81</v>
      </c>
      <c r="O340" s="3">
        <v>0.375</v>
      </c>
      <c r="Q340" t="s">
        <v>29</v>
      </c>
    </row>
    <row r="341" spans="1:19" x14ac:dyDescent="0.3">
      <c r="A341" t="s">
        <v>328</v>
      </c>
      <c r="B341" t="s">
        <v>329</v>
      </c>
      <c r="C341" t="s">
        <v>22</v>
      </c>
      <c r="D341">
        <v>316</v>
      </c>
      <c r="E341" t="s">
        <v>176</v>
      </c>
      <c r="F341" t="s">
        <v>330</v>
      </c>
      <c r="G341" s="2">
        <v>45176</v>
      </c>
      <c r="H341">
        <v>95</v>
      </c>
      <c r="I341" s="2">
        <v>11235</v>
      </c>
      <c r="J341" t="s">
        <v>331</v>
      </c>
      <c r="K341" t="s">
        <v>335</v>
      </c>
      <c r="L341" s="6">
        <v>1</v>
      </c>
      <c r="M341" s="6">
        <f t="shared" si="16"/>
        <v>30</v>
      </c>
      <c r="N341" s="4" t="s">
        <v>52</v>
      </c>
      <c r="O341" s="3">
        <v>0.875</v>
      </c>
      <c r="Q341" t="s">
        <v>29</v>
      </c>
    </row>
    <row r="342" spans="1:19" x14ac:dyDescent="0.3">
      <c r="A342" t="s">
        <v>328</v>
      </c>
      <c r="B342" t="s">
        <v>329</v>
      </c>
      <c r="C342" t="s">
        <v>22</v>
      </c>
      <c r="D342">
        <v>316</v>
      </c>
      <c r="E342" t="s">
        <v>176</v>
      </c>
      <c r="F342" t="s">
        <v>330</v>
      </c>
      <c r="G342" s="2">
        <v>45176</v>
      </c>
      <c r="H342">
        <v>95</v>
      </c>
      <c r="I342" s="2">
        <v>11235</v>
      </c>
      <c r="J342" t="s">
        <v>331</v>
      </c>
      <c r="K342" t="s">
        <v>336</v>
      </c>
      <c r="L342" s="6">
        <v>1</v>
      </c>
      <c r="M342" s="6">
        <f t="shared" si="16"/>
        <v>30</v>
      </c>
      <c r="N342" s="4" t="s">
        <v>53</v>
      </c>
      <c r="O342" s="3">
        <v>0.875</v>
      </c>
      <c r="Q342" t="s">
        <v>29</v>
      </c>
    </row>
    <row r="343" spans="1:19" x14ac:dyDescent="0.3">
      <c r="A343" t="s">
        <v>328</v>
      </c>
      <c r="B343" t="s">
        <v>329</v>
      </c>
      <c r="C343" t="s">
        <v>22</v>
      </c>
      <c r="D343">
        <v>316</v>
      </c>
      <c r="E343" t="s">
        <v>176</v>
      </c>
      <c r="F343" t="s">
        <v>330</v>
      </c>
      <c r="G343" s="2">
        <v>45176</v>
      </c>
      <c r="H343">
        <v>95</v>
      </c>
      <c r="I343" s="2">
        <v>11235</v>
      </c>
      <c r="J343" t="s">
        <v>331</v>
      </c>
      <c r="K343" t="s">
        <v>337</v>
      </c>
      <c r="L343" s="6">
        <v>1</v>
      </c>
      <c r="N343" s="4" t="s">
        <v>52</v>
      </c>
      <c r="O343" s="3">
        <v>0.375</v>
      </c>
      <c r="Q343" t="s">
        <v>40</v>
      </c>
      <c r="R343" s="2">
        <v>46183</v>
      </c>
      <c r="S343" s="2">
        <v>46189</v>
      </c>
    </row>
    <row r="344" spans="1:19" x14ac:dyDescent="0.3">
      <c r="A344" t="s">
        <v>328</v>
      </c>
      <c r="B344" t="s">
        <v>329</v>
      </c>
      <c r="C344" t="s">
        <v>22</v>
      </c>
      <c r="D344">
        <v>316</v>
      </c>
      <c r="E344" t="s">
        <v>176</v>
      </c>
      <c r="F344" t="s">
        <v>330</v>
      </c>
      <c r="G344" s="2">
        <v>45176</v>
      </c>
      <c r="H344">
        <v>95</v>
      </c>
      <c r="I344" s="2">
        <v>11235</v>
      </c>
      <c r="J344" t="s">
        <v>331</v>
      </c>
      <c r="K344" t="s">
        <v>337</v>
      </c>
      <c r="L344" s="6">
        <v>1</v>
      </c>
      <c r="N344" s="4" t="s">
        <v>52</v>
      </c>
      <c r="O344" s="3">
        <v>0.875</v>
      </c>
      <c r="Q344" t="s">
        <v>40</v>
      </c>
      <c r="R344" s="2">
        <v>46183</v>
      </c>
      <c r="S344" s="2">
        <v>46189</v>
      </c>
    </row>
    <row r="345" spans="1:19" x14ac:dyDescent="0.3">
      <c r="A345" t="s">
        <v>338</v>
      </c>
      <c r="B345" t="s">
        <v>339</v>
      </c>
      <c r="C345" t="s">
        <v>22</v>
      </c>
      <c r="D345">
        <v>215</v>
      </c>
      <c r="E345" t="s">
        <v>23</v>
      </c>
      <c r="F345" t="s">
        <v>340</v>
      </c>
      <c r="G345" s="2">
        <v>45196</v>
      </c>
      <c r="H345">
        <v>85</v>
      </c>
      <c r="I345" s="2">
        <v>15129</v>
      </c>
      <c r="J345" t="s">
        <v>341</v>
      </c>
      <c r="K345" t="s">
        <v>262</v>
      </c>
      <c r="L345" s="6">
        <v>1</v>
      </c>
      <c r="M345" s="6">
        <f t="shared" ref="M345:M360" si="17">L345*30</f>
        <v>30</v>
      </c>
      <c r="N345" s="4" t="s">
        <v>51</v>
      </c>
      <c r="O345" s="3">
        <v>0.29166666666666669</v>
      </c>
      <c r="Q345" t="s">
        <v>29</v>
      </c>
    </row>
    <row r="346" spans="1:19" x14ac:dyDescent="0.3">
      <c r="A346" t="s">
        <v>338</v>
      </c>
      <c r="B346" t="s">
        <v>339</v>
      </c>
      <c r="C346" t="s">
        <v>22</v>
      </c>
      <c r="D346">
        <v>215</v>
      </c>
      <c r="E346" t="s">
        <v>23</v>
      </c>
      <c r="F346" t="s">
        <v>340</v>
      </c>
      <c r="G346" s="2">
        <v>45196</v>
      </c>
      <c r="H346">
        <v>85</v>
      </c>
      <c r="I346" s="2">
        <v>15129</v>
      </c>
      <c r="J346" t="s">
        <v>341</v>
      </c>
      <c r="K346" t="s">
        <v>342</v>
      </c>
      <c r="L346" s="6">
        <v>1</v>
      </c>
      <c r="M346" s="6">
        <f t="shared" si="17"/>
        <v>30</v>
      </c>
      <c r="N346" s="4" t="s">
        <v>51</v>
      </c>
      <c r="O346" s="3">
        <v>0.375</v>
      </c>
      <c r="Q346" t="s">
        <v>29</v>
      </c>
    </row>
    <row r="347" spans="1:19" x14ac:dyDescent="0.3">
      <c r="A347" t="s">
        <v>338</v>
      </c>
      <c r="B347" t="s">
        <v>339</v>
      </c>
      <c r="C347" t="s">
        <v>22</v>
      </c>
      <c r="D347">
        <v>215</v>
      </c>
      <c r="E347" t="s">
        <v>23</v>
      </c>
      <c r="F347" t="s">
        <v>340</v>
      </c>
      <c r="G347" s="2">
        <v>45196</v>
      </c>
      <c r="H347">
        <v>85</v>
      </c>
      <c r="I347" s="2">
        <v>15129</v>
      </c>
      <c r="J347" t="s">
        <v>341</v>
      </c>
      <c r="K347" t="s">
        <v>54</v>
      </c>
      <c r="L347" s="6">
        <v>1</v>
      </c>
      <c r="M347" s="6">
        <f t="shared" si="17"/>
        <v>30</v>
      </c>
      <c r="N347" s="4" t="s">
        <v>51</v>
      </c>
      <c r="O347" s="3">
        <v>0.375</v>
      </c>
      <c r="Q347" t="s">
        <v>29</v>
      </c>
    </row>
    <row r="348" spans="1:19" x14ac:dyDescent="0.3">
      <c r="A348" t="s">
        <v>338</v>
      </c>
      <c r="B348" t="s">
        <v>339</v>
      </c>
      <c r="C348" t="s">
        <v>22</v>
      </c>
      <c r="D348">
        <v>215</v>
      </c>
      <c r="E348" t="s">
        <v>23</v>
      </c>
      <c r="F348" t="s">
        <v>340</v>
      </c>
      <c r="G348" s="2">
        <v>45196</v>
      </c>
      <c r="H348">
        <v>85</v>
      </c>
      <c r="I348" s="2">
        <v>15129</v>
      </c>
      <c r="J348" t="s">
        <v>341</v>
      </c>
      <c r="K348" t="s">
        <v>223</v>
      </c>
      <c r="L348" s="6">
        <v>1</v>
      </c>
      <c r="M348" s="6">
        <f t="shared" si="17"/>
        <v>30</v>
      </c>
      <c r="N348" s="4" t="s">
        <v>51</v>
      </c>
      <c r="O348" s="3">
        <v>0.375</v>
      </c>
      <c r="P348" t="s">
        <v>343</v>
      </c>
      <c r="Q348" t="s">
        <v>29</v>
      </c>
    </row>
    <row r="349" spans="1:19" x14ac:dyDescent="0.3">
      <c r="A349" t="s">
        <v>338</v>
      </c>
      <c r="B349" t="s">
        <v>339</v>
      </c>
      <c r="C349" t="s">
        <v>22</v>
      </c>
      <c r="D349">
        <v>215</v>
      </c>
      <c r="E349" t="s">
        <v>23</v>
      </c>
      <c r="F349" t="s">
        <v>340</v>
      </c>
      <c r="G349" s="2">
        <v>45196</v>
      </c>
      <c r="H349">
        <v>85</v>
      </c>
      <c r="I349" s="2">
        <v>15129</v>
      </c>
      <c r="J349" t="s">
        <v>341</v>
      </c>
      <c r="K349" t="s">
        <v>334</v>
      </c>
      <c r="L349" s="6">
        <v>1</v>
      </c>
      <c r="M349" s="6">
        <f t="shared" si="17"/>
        <v>30</v>
      </c>
      <c r="N349" s="4" t="s">
        <v>53</v>
      </c>
      <c r="O349" s="3">
        <v>0.375</v>
      </c>
      <c r="Q349" t="s">
        <v>29</v>
      </c>
    </row>
    <row r="350" spans="1:19" x14ac:dyDescent="0.3">
      <c r="A350" t="s">
        <v>338</v>
      </c>
      <c r="B350" t="s">
        <v>339</v>
      </c>
      <c r="C350" t="s">
        <v>22</v>
      </c>
      <c r="D350">
        <v>215</v>
      </c>
      <c r="E350" t="s">
        <v>23</v>
      </c>
      <c r="F350" t="s">
        <v>340</v>
      </c>
      <c r="G350" s="2">
        <v>45196</v>
      </c>
      <c r="H350">
        <v>85</v>
      </c>
      <c r="I350" s="2">
        <v>15129</v>
      </c>
      <c r="J350" t="s">
        <v>341</v>
      </c>
      <c r="K350" t="s">
        <v>101</v>
      </c>
      <c r="L350" s="6">
        <v>1</v>
      </c>
      <c r="M350" s="6">
        <f t="shared" si="17"/>
        <v>30</v>
      </c>
      <c r="N350" s="4" t="s">
        <v>81</v>
      </c>
      <c r="O350" s="3">
        <v>0.375</v>
      </c>
      <c r="Q350" t="s">
        <v>29</v>
      </c>
    </row>
    <row r="351" spans="1:19" x14ac:dyDescent="0.3">
      <c r="A351" t="s">
        <v>338</v>
      </c>
      <c r="B351" t="s">
        <v>339</v>
      </c>
      <c r="C351" t="s">
        <v>22</v>
      </c>
      <c r="D351">
        <v>215</v>
      </c>
      <c r="E351" t="s">
        <v>23</v>
      </c>
      <c r="F351" t="s">
        <v>340</v>
      </c>
      <c r="G351" s="2">
        <v>45196</v>
      </c>
      <c r="H351">
        <v>85</v>
      </c>
      <c r="I351" s="2">
        <v>15129</v>
      </c>
      <c r="J351" t="s">
        <v>341</v>
      </c>
      <c r="K351" t="s">
        <v>38</v>
      </c>
      <c r="L351" s="6">
        <v>1</v>
      </c>
      <c r="M351" s="6">
        <f t="shared" si="17"/>
        <v>30</v>
      </c>
      <c r="N351" s="4" t="s">
        <v>51</v>
      </c>
      <c r="O351" s="3">
        <v>0.875</v>
      </c>
      <c r="P351" t="s">
        <v>343</v>
      </c>
      <c r="Q351" t="s">
        <v>29</v>
      </c>
    </row>
    <row r="352" spans="1:19" x14ac:dyDescent="0.3">
      <c r="A352" t="s">
        <v>344</v>
      </c>
      <c r="B352" t="s">
        <v>345</v>
      </c>
      <c r="C352" t="s">
        <v>346</v>
      </c>
      <c r="D352">
        <v>101</v>
      </c>
      <c r="E352" t="s">
        <v>23</v>
      </c>
      <c r="F352" t="s">
        <v>347</v>
      </c>
      <c r="G352" s="2">
        <v>45754</v>
      </c>
      <c r="H352">
        <v>81</v>
      </c>
      <c r="I352" s="2">
        <v>16489</v>
      </c>
      <c r="J352" t="s">
        <v>348</v>
      </c>
      <c r="K352" t="s">
        <v>349</v>
      </c>
      <c r="L352" s="6">
        <v>1</v>
      </c>
      <c r="M352" s="6">
        <f t="shared" si="17"/>
        <v>30</v>
      </c>
      <c r="N352" s="4" t="s">
        <v>51</v>
      </c>
      <c r="O352" s="3">
        <v>0.29166666666666669</v>
      </c>
      <c r="Q352" t="s">
        <v>29</v>
      </c>
    </row>
    <row r="353" spans="1:17" x14ac:dyDescent="0.3">
      <c r="A353" t="s">
        <v>344</v>
      </c>
      <c r="B353" t="s">
        <v>345</v>
      </c>
      <c r="C353" t="s">
        <v>346</v>
      </c>
      <c r="D353">
        <v>101</v>
      </c>
      <c r="E353" t="s">
        <v>23</v>
      </c>
      <c r="F353" t="s">
        <v>347</v>
      </c>
      <c r="G353" s="2">
        <v>45754</v>
      </c>
      <c r="H353">
        <v>81</v>
      </c>
      <c r="I353" s="2">
        <v>16489</v>
      </c>
      <c r="J353" t="s">
        <v>348</v>
      </c>
      <c r="K353" t="s">
        <v>37</v>
      </c>
      <c r="L353" s="6">
        <v>1</v>
      </c>
      <c r="M353" s="6">
        <f t="shared" si="17"/>
        <v>30</v>
      </c>
      <c r="N353" s="4" t="s">
        <v>51</v>
      </c>
      <c r="O353" s="3">
        <v>0.375</v>
      </c>
      <c r="Q353" t="s">
        <v>29</v>
      </c>
    </row>
    <row r="354" spans="1:17" x14ac:dyDescent="0.3">
      <c r="A354" t="s">
        <v>344</v>
      </c>
      <c r="B354" t="s">
        <v>345</v>
      </c>
      <c r="C354" t="s">
        <v>346</v>
      </c>
      <c r="D354">
        <v>101</v>
      </c>
      <c r="E354" t="s">
        <v>23</v>
      </c>
      <c r="F354" t="s">
        <v>347</v>
      </c>
      <c r="G354" s="2">
        <v>45754</v>
      </c>
      <c r="H354">
        <v>81</v>
      </c>
      <c r="I354" s="2">
        <v>16489</v>
      </c>
      <c r="J354" t="s">
        <v>348</v>
      </c>
      <c r="K354" t="s">
        <v>37</v>
      </c>
      <c r="L354" s="6">
        <v>1</v>
      </c>
      <c r="M354" s="6">
        <f t="shared" si="17"/>
        <v>30</v>
      </c>
      <c r="N354" s="4" t="s">
        <v>51</v>
      </c>
      <c r="O354" s="3">
        <v>0.875</v>
      </c>
      <c r="Q354" t="s">
        <v>29</v>
      </c>
    </row>
    <row r="355" spans="1:17" x14ac:dyDescent="0.3">
      <c r="A355" t="s">
        <v>344</v>
      </c>
      <c r="B355" t="s">
        <v>345</v>
      </c>
      <c r="C355" t="s">
        <v>346</v>
      </c>
      <c r="D355">
        <v>101</v>
      </c>
      <c r="E355" t="s">
        <v>23</v>
      </c>
      <c r="F355" t="s">
        <v>347</v>
      </c>
      <c r="G355" s="2">
        <v>45754</v>
      </c>
      <c r="H355">
        <v>81</v>
      </c>
      <c r="I355" s="2">
        <v>16489</v>
      </c>
      <c r="J355" t="s">
        <v>348</v>
      </c>
      <c r="K355" t="s">
        <v>350</v>
      </c>
      <c r="L355" s="6">
        <v>1</v>
      </c>
      <c r="M355" s="6">
        <f t="shared" si="17"/>
        <v>30</v>
      </c>
      <c r="N355" s="4" t="s">
        <v>51</v>
      </c>
      <c r="O355" s="3">
        <v>0.375</v>
      </c>
      <c r="Q355" t="s">
        <v>29</v>
      </c>
    </row>
    <row r="356" spans="1:17" x14ac:dyDescent="0.3">
      <c r="A356" t="s">
        <v>344</v>
      </c>
      <c r="B356" t="s">
        <v>345</v>
      </c>
      <c r="C356" t="s">
        <v>346</v>
      </c>
      <c r="D356">
        <v>101</v>
      </c>
      <c r="E356" t="s">
        <v>23</v>
      </c>
      <c r="F356" t="s">
        <v>347</v>
      </c>
      <c r="G356" s="2">
        <v>45754</v>
      </c>
      <c r="H356">
        <v>81</v>
      </c>
      <c r="I356" s="2">
        <v>16489</v>
      </c>
      <c r="J356" t="s">
        <v>348</v>
      </c>
      <c r="K356" t="s">
        <v>350</v>
      </c>
      <c r="L356" s="6">
        <v>1</v>
      </c>
      <c r="M356" s="6">
        <f t="shared" si="17"/>
        <v>30</v>
      </c>
      <c r="N356" s="4" t="s">
        <v>51</v>
      </c>
      <c r="O356" s="3">
        <v>0.875</v>
      </c>
      <c r="Q356" t="s">
        <v>29</v>
      </c>
    </row>
    <row r="357" spans="1:17" x14ac:dyDescent="0.3">
      <c r="A357" t="s">
        <v>344</v>
      </c>
      <c r="B357" t="s">
        <v>345</v>
      </c>
      <c r="C357" t="s">
        <v>346</v>
      </c>
      <c r="D357">
        <v>101</v>
      </c>
      <c r="E357" t="s">
        <v>23</v>
      </c>
      <c r="F357" t="s">
        <v>347</v>
      </c>
      <c r="G357" s="2">
        <v>45754</v>
      </c>
      <c r="H357">
        <v>81</v>
      </c>
      <c r="I357" s="2">
        <v>16489</v>
      </c>
      <c r="J357" t="s">
        <v>348</v>
      </c>
      <c r="K357" t="s">
        <v>199</v>
      </c>
      <c r="L357" s="6">
        <v>1</v>
      </c>
      <c r="M357" s="6">
        <f t="shared" si="17"/>
        <v>30</v>
      </c>
      <c r="N357" s="4" t="s">
        <v>51</v>
      </c>
      <c r="O357" s="3">
        <v>0.375</v>
      </c>
      <c r="Q357" t="s">
        <v>29</v>
      </c>
    </row>
    <row r="358" spans="1:17" x14ac:dyDescent="0.3">
      <c r="A358" t="s">
        <v>344</v>
      </c>
      <c r="B358" t="s">
        <v>345</v>
      </c>
      <c r="C358" t="s">
        <v>346</v>
      </c>
      <c r="D358">
        <v>101</v>
      </c>
      <c r="E358" t="s">
        <v>23</v>
      </c>
      <c r="F358" t="s">
        <v>347</v>
      </c>
      <c r="G358" s="2">
        <v>45754</v>
      </c>
      <c r="H358">
        <v>81</v>
      </c>
      <c r="I358" s="2">
        <v>16489</v>
      </c>
      <c r="J358" t="s">
        <v>348</v>
      </c>
      <c r="K358" t="s">
        <v>224</v>
      </c>
      <c r="L358" s="6">
        <v>1</v>
      </c>
      <c r="M358" s="6">
        <f t="shared" si="17"/>
        <v>30</v>
      </c>
      <c r="N358" s="4" t="s">
        <v>51</v>
      </c>
      <c r="O358" s="3">
        <v>0.375</v>
      </c>
      <c r="Q358" t="s">
        <v>29</v>
      </c>
    </row>
    <row r="359" spans="1:17" x14ac:dyDescent="0.3">
      <c r="A359" t="s">
        <v>344</v>
      </c>
      <c r="B359" t="s">
        <v>345</v>
      </c>
      <c r="C359" t="s">
        <v>346</v>
      </c>
      <c r="D359">
        <v>101</v>
      </c>
      <c r="E359" t="s">
        <v>23</v>
      </c>
      <c r="F359" t="s">
        <v>347</v>
      </c>
      <c r="G359" s="2">
        <v>45754</v>
      </c>
      <c r="H359">
        <v>81</v>
      </c>
      <c r="I359" s="2">
        <v>16489</v>
      </c>
      <c r="J359" t="s">
        <v>348</v>
      </c>
      <c r="K359" t="s">
        <v>351</v>
      </c>
      <c r="L359" s="6">
        <v>1</v>
      </c>
      <c r="M359" s="6">
        <f t="shared" si="17"/>
        <v>30</v>
      </c>
      <c r="N359" s="4" t="s">
        <v>51</v>
      </c>
      <c r="O359" s="3">
        <v>0.375</v>
      </c>
      <c r="Q359" t="s">
        <v>29</v>
      </c>
    </row>
    <row r="360" spans="1:17" x14ac:dyDescent="0.3">
      <c r="A360" t="s">
        <v>344</v>
      </c>
      <c r="B360" t="s">
        <v>345</v>
      </c>
      <c r="C360" t="s">
        <v>346</v>
      </c>
      <c r="D360">
        <v>101</v>
      </c>
      <c r="E360" t="s">
        <v>23</v>
      </c>
      <c r="F360" t="s">
        <v>347</v>
      </c>
      <c r="G360" s="2">
        <v>45754</v>
      </c>
      <c r="H360">
        <v>81</v>
      </c>
      <c r="I360" s="2">
        <v>16489</v>
      </c>
      <c r="J360" t="s">
        <v>348</v>
      </c>
      <c r="K360" t="s">
        <v>141</v>
      </c>
      <c r="L360" s="6">
        <v>1</v>
      </c>
      <c r="M360" s="6">
        <f t="shared" si="17"/>
        <v>30</v>
      </c>
      <c r="N360" s="4" t="s">
        <v>51</v>
      </c>
      <c r="O360" s="3">
        <v>0.875</v>
      </c>
      <c r="Q360" t="s">
        <v>29</v>
      </c>
    </row>
    <row r="361" spans="1:17" x14ac:dyDescent="0.3">
      <c r="A361" t="s">
        <v>344</v>
      </c>
      <c r="B361" t="s">
        <v>345</v>
      </c>
      <c r="C361" t="s">
        <v>346</v>
      </c>
      <c r="D361">
        <v>101</v>
      </c>
      <c r="E361" t="s">
        <v>23</v>
      </c>
      <c r="F361" t="s">
        <v>347</v>
      </c>
      <c r="G361" s="2">
        <v>45754</v>
      </c>
      <c r="H361">
        <v>81</v>
      </c>
      <c r="I361" s="2">
        <v>16489</v>
      </c>
      <c r="J361" t="s">
        <v>348</v>
      </c>
      <c r="K361" t="s">
        <v>88</v>
      </c>
      <c r="L361" s="6">
        <v>2</v>
      </c>
      <c r="N361" s="4" t="s">
        <v>51</v>
      </c>
      <c r="O361" s="3">
        <v>0.29166666666666669</v>
      </c>
      <c r="P361" t="s">
        <v>352</v>
      </c>
      <c r="Q361" t="s">
        <v>74</v>
      </c>
    </row>
    <row r="362" spans="1:17" x14ac:dyDescent="0.3">
      <c r="A362" t="s">
        <v>344</v>
      </c>
      <c r="B362" t="s">
        <v>345</v>
      </c>
      <c r="C362" t="s">
        <v>346</v>
      </c>
      <c r="D362">
        <v>101</v>
      </c>
      <c r="E362" t="s">
        <v>23</v>
      </c>
      <c r="F362" t="s">
        <v>347</v>
      </c>
      <c r="G362" s="2">
        <v>45754</v>
      </c>
      <c r="H362">
        <v>81</v>
      </c>
      <c r="I362" s="2">
        <v>16489</v>
      </c>
      <c r="J362" t="s">
        <v>348</v>
      </c>
      <c r="K362" t="s">
        <v>88</v>
      </c>
      <c r="L362" s="6">
        <v>2</v>
      </c>
      <c r="N362" s="4" t="s">
        <v>51</v>
      </c>
      <c r="O362" s="3">
        <v>0.625</v>
      </c>
      <c r="P362" t="s">
        <v>352</v>
      </c>
      <c r="Q362" t="s">
        <v>74</v>
      </c>
    </row>
    <row r="363" spans="1:17" x14ac:dyDescent="0.3">
      <c r="A363" t="s">
        <v>344</v>
      </c>
      <c r="B363" t="s">
        <v>345</v>
      </c>
      <c r="C363" t="s">
        <v>346</v>
      </c>
      <c r="D363">
        <v>101</v>
      </c>
      <c r="E363" t="s">
        <v>23</v>
      </c>
      <c r="F363" t="s">
        <v>347</v>
      </c>
      <c r="G363" s="2">
        <v>45754</v>
      </c>
      <c r="H363">
        <v>81</v>
      </c>
      <c r="I363" s="2">
        <v>16489</v>
      </c>
      <c r="J363" t="s">
        <v>348</v>
      </c>
      <c r="K363" t="s">
        <v>88</v>
      </c>
      <c r="L363" s="6">
        <v>2</v>
      </c>
      <c r="N363" s="4" t="s">
        <v>51</v>
      </c>
      <c r="O363" s="3">
        <v>0.95833333333333337</v>
      </c>
      <c r="P363" t="s">
        <v>352</v>
      </c>
      <c r="Q363" t="s">
        <v>74</v>
      </c>
    </row>
  </sheetData>
  <autoFilter ref="A1:S363" xr:uid="{CD76E017-4BF7-429A-BB32-CC07BCCF0509}"/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60DB-D474-4123-9D72-A28E42730867}">
  <dimension ref="A1:G1"/>
  <sheetViews>
    <sheetView workbookViewId="0">
      <selection activeCell="D2" sqref="D2"/>
    </sheetView>
  </sheetViews>
  <sheetFormatPr baseColWidth="10" defaultRowHeight="14.4" x14ac:dyDescent="0.3"/>
  <cols>
    <col min="1" max="1" width="5.33203125" bestFit="1" customWidth="1"/>
    <col min="2" max="2" width="17.44140625" bestFit="1" customWidth="1"/>
    <col min="3" max="3" width="24.44140625" bestFit="1" customWidth="1"/>
    <col min="4" max="4" width="22.109375" bestFit="1" customWidth="1"/>
    <col min="5" max="5" width="28.6640625" customWidth="1"/>
    <col min="6" max="6" width="19.109375" customWidth="1"/>
    <col min="7" max="7" width="31" customWidth="1"/>
  </cols>
  <sheetData>
    <row r="1" spans="1:7" ht="54" customHeight="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Medicamentos</vt:lpstr>
      <vt:lpstr>Medicamento x Residente</vt:lpstr>
      <vt:lpstr>Base de Datos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Muñoz</dc:creator>
  <cp:lastModifiedBy>Gonzalo Muñoz</cp:lastModifiedBy>
  <dcterms:created xsi:type="dcterms:W3CDTF">2026-06-17T01:19:15Z</dcterms:created>
  <dcterms:modified xsi:type="dcterms:W3CDTF">2026-06-18T03:49:42Z</dcterms:modified>
</cp:coreProperties>
</file>